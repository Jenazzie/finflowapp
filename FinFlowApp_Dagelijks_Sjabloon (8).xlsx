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tart hier" sheetId="1" state="visible" r:id="rId1"/>
    <sheet xmlns:r="http://schemas.openxmlformats.org/officeDocument/2006/relationships" name="2. Dagdata" sheetId="2" state="visible" r:id="rId2"/>
    <sheet xmlns:r="http://schemas.openxmlformats.org/officeDocument/2006/relationships" name="3. Kostendata" sheetId="3" state="visible" r:id="rId3"/>
    <sheet xmlns:r="http://schemas.openxmlformats.org/officeDocument/2006/relationships" name="4. Balans" sheetId="4" state="visible" r:id="rId4"/>
    <sheet xmlns:r="http://schemas.openxmlformats.org/officeDocument/2006/relationships" name="5. Resulta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€#,##0;[Red](€#,##0)"/>
    <numFmt numFmtId="165" formatCode="0.0%;[Red]-0.0%"/>
    <numFmt numFmtId="166" formatCode="0.0%"/>
  </numFmts>
  <fonts count="3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b val="1"/>
      <color rgb="000D9488"/>
      <sz val="10"/>
    </font>
    <font>
      <name val="Calibri"/>
      <color rgb="00334155"/>
      <sz val="9"/>
    </font>
    <font>
      <name val="Calibri"/>
      <b val="1"/>
      <color rgb="001D4ED8"/>
      <sz val="10"/>
    </font>
    <font>
      <name val="Calibri"/>
      <b val="1"/>
      <color rgb="0015803D"/>
      <sz val="10"/>
    </font>
    <font>
      <name val="Calibri"/>
      <b val="1"/>
      <color rgb="00B45309"/>
      <sz val="10"/>
    </font>
    <font>
      <name val="Calibri"/>
      <b val="1"/>
      <color rgb="000F172A"/>
      <sz val="10"/>
    </font>
    <font>
      <name val="Calibri"/>
      <i val="1"/>
      <color rgb="000D9488"/>
      <sz val="9"/>
    </font>
    <font>
      <name val="Calibri"/>
      <b val="1"/>
      <color rgb="00FFFFFF"/>
      <sz val="9"/>
    </font>
    <font>
      <name val="Calibri"/>
      <color rgb="001D4ED8"/>
      <sz val="10"/>
    </font>
    <font>
      <name val="Calibri"/>
      <color rgb="0015803D"/>
      <sz val="10"/>
    </font>
    <font>
      <name val="Calibri"/>
      <color rgb="00D1FAE5"/>
      <sz val="10"/>
    </font>
    <font>
      <name val="Calibri"/>
      <b val="1"/>
      <color rgb="0014B8A6"/>
      <sz val="10"/>
    </font>
    <font>
      <name val="Calibri"/>
      <i val="1"/>
      <color rgb="0064748B"/>
      <sz val="9"/>
    </font>
    <font>
      <name val="Calibri"/>
      <color rgb="001D4ED8"/>
      <sz val="9"/>
    </font>
    <font>
      <name val="Calibri"/>
      <b val="1"/>
      <color rgb="000D9488"/>
      <sz val="9"/>
    </font>
    <font>
      <name val="Calibri"/>
      <color rgb="000F172A"/>
      <sz val="10"/>
    </font>
    <font>
      <name val="Calibri"/>
      <b val="1"/>
      <color rgb="00B91C1C"/>
      <sz val="9"/>
    </font>
    <font>
      <name val="Calibri"/>
      <b val="1"/>
      <color rgb="00B45309"/>
      <sz val="9"/>
    </font>
    <font>
      <name val="Calibri"/>
      <b val="1"/>
      <i val="1"/>
      <color rgb="00B45309"/>
      <sz val="9"/>
    </font>
    <font>
      <name val="Calibri"/>
      <b val="1"/>
      <color rgb="00FFFFFF"/>
      <sz val="15"/>
    </font>
    <font>
      <name val="Calibri"/>
      <b val="1"/>
      <color rgb="0064748B"/>
      <sz val="9"/>
    </font>
    <font>
      <name val="Calibri"/>
      <b val="1"/>
      <color rgb="000D9488"/>
      <sz val="19"/>
    </font>
    <font>
      <name val="Calibri"/>
      <b val="1"/>
      <color rgb="00B45309"/>
      <sz val="19"/>
    </font>
    <font>
      <name val="Calibri"/>
      <b val="1"/>
      <color rgb="0015803D"/>
      <sz val="19"/>
    </font>
    <font>
      <name val="Calibri"/>
      <b val="1"/>
      <color rgb="001D4ED8"/>
      <sz val="19"/>
    </font>
    <font>
      <name val="Calibri"/>
      <b val="1"/>
      <color rgb="004338CA"/>
      <sz val="19"/>
    </font>
  </fonts>
  <fills count="17">
    <fill>
      <patternFill/>
    </fill>
    <fill>
      <patternFill patternType="gray125"/>
    </fill>
    <fill>
      <patternFill patternType="solid">
        <fgColor rgb="000D9488"/>
      </patternFill>
    </fill>
    <fill>
      <patternFill patternType="solid">
        <fgColor rgb="001E293B"/>
      </patternFill>
    </fill>
    <fill>
      <patternFill patternType="solid">
        <fgColor rgb="00E6F7F5"/>
      </patternFill>
    </fill>
    <fill>
      <patternFill patternType="solid">
        <fgColor rgb="00EFF6FF"/>
      </patternFill>
    </fill>
    <fill>
      <patternFill patternType="solid">
        <fgColor rgb="00DCFCE7"/>
      </patternFill>
    </fill>
    <fill>
      <patternFill patternType="solid">
        <fgColor rgb="00FFFBEB"/>
      </patternFill>
    </fill>
    <fill>
      <patternFill patternType="solid">
        <fgColor rgb="00F8FAFB"/>
      </patternFill>
    </fill>
    <fill>
      <patternFill patternType="solid">
        <fgColor rgb="001D4ED8"/>
      </patternFill>
    </fill>
    <fill>
      <patternFill patternType="solid">
        <fgColor rgb="0015803D"/>
      </patternFill>
    </fill>
    <fill>
      <patternFill patternType="solid">
        <fgColor rgb="00F0F4F8"/>
      </patternFill>
    </fill>
    <fill>
      <patternFill patternType="solid">
        <fgColor rgb="00E8F0FE"/>
      </patternFill>
    </fill>
    <fill>
      <patternFill patternType="solid">
        <fgColor rgb="00F0FDF4"/>
      </patternFill>
    </fill>
    <fill>
      <patternFill patternType="solid">
        <fgColor rgb="00ECFDF5"/>
      </patternFill>
    </fill>
    <fill>
      <patternFill patternType="solid">
        <fgColor rgb="00FFFFFF"/>
      </patternFill>
    </fill>
    <fill>
      <patternFill patternType="solid">
        <fgColor rgb="00FEF2F2"/>
      </patternFill>
    </fill>
  </fills>
  <borders count="10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ck">
        <color rgb="000D9488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94A3B8"/>
      </bottom>
    </border>
    <border>
      <left style="thin">
        <color rgb="00CBD5E1"/>
      </left>
      <right style="thin">
        <color rgb="00CBD5E1"/>
      </right>
      <top style="medium">
        <color rgb="0014B8A6"/>
      </top>
      <bottom style="medium">
        <color rgb="0014B8A6"/>
      </bottom>
    </border>
    <border>
      <left style="thin">
        <color rgb="00CBD5E1"/>
      </left>
      <right style="thin">
        <color rgb="00CBD5E1"/>
      </right>
      <top style="medium">
        <color rgb="0015803D"/>
      </top>
      <bottom style="medium">
        <color rgb="0015803D"/>
      </bottom>
    </border>
    <border>
      <left style="thick">
        <color rgb="001D4ED8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ck">
        <color rgb="00B45309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ck">
        <color rgb="0015803D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ck">
        <color rgb="004338CA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left" vertical="center" indent="1"/>
    </xf>
    <xf numFmtId="0" fontId="4" fillId="4" borderId="2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wrapText="1" indent="1"/>
    </xf>
    <xf numFmtId="0" fontId="6" fillId="5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indent="1"/>
    </xf>
    <xf numFmtId="0" fontId="7" fillId="6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left" vertical="center" indent="1"/>
    </xf>
    <xf numFmtId="0" fontId="8" fillId="7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 indent="1"/>
    </xf>
    <xf numFmtId="0" fontId="9" fillId="8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left" vertical="center" wrapText="1" indent="1"/>
    </xf>
    <xf numFmtId="0" fontId="10" fillId="4" borderId="1" applyAlignment="1" pivotButton="0" quotePrefix="0" xfId="0">
      <alignment horizontal="left" vertical="center" indent="1"/>
    </xf>
    <xf numFmtId="0" fontId="11" fillId="3" borderId="3" applyAlignment="1" pivotButton="0" quotePrefix="0" xfId="0">
      <alignment horizontal="center" vertical="center" wrapText="1"/>
    </xf>
    <xf numFmtId="0" fontId="11" fillId="9" borderId="3" applyAlignment="1" pivotButton="0" quotePrefix="0" xfId="0">
      <alignment horizontal="center" vertical="center" wrapText="1"/>
    </xf>
    <xf numFmtId="0" fontId="11" fillId="10" borderId="3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/>
    </xf>
    <xf numFmtId="164" fontId="12" fillId="5" borderId="1" applyAlignment="1" pivotButton="0" quotePrefix="0" xfId="0">
      <alignment horizontal="right" vertical="center"/>
    </xf>
    <xf numFmtId="164" fontId="12" fillId="12" borderId="1" applyAlignment="1" pivotButton="0" quotePrefix="0" xfId="0">
      <alignment horizontal="right" vertical="center"/>
    </xf>
    <xf numFmtId="164" fontId="13" fillId="13" borderId="1" applyAlignment="1" pivotButton="0" quotePrefix="0" xfId="0">
      <alignment horizontal="right" vertical="center"/>
    </xf>
    <xf numFmtId="165" fontId="13" fillId="13" borderId="1" applyAlignment="1" pivotButton="0" quotePrefix="0" xfId="0">
      <alignment horizontal="right" vertical="center"/>
    </xf>
    <xf numFmtId="164" fontId="13" fillId="14" borderId="1" applyAlignment="1" pivotButton="0" quotePrefix="0" xfId="0">
      <alignment horizontal="right" vertical="center"/>
    </xf>
    <xf numFmtId="165" fontId="13" fillId="14" borderId="1" applyAlignment="1" pivotButton="0" quotePrefix="0" xfId="0">
      <alignment horizontal="right" vertical="center"/>
    </xf>
    <xf numFmtId="0" fontId="0" fillId="11" borderId="1" applyAlignment="1" pivotButton="0" quotePrefix="0" xfId="0">
      <alignment horizontal="center" vertical="center"/>
    </xf>
    <xf numFmtId="164" fontId="0" fillId="5" borderId="1" pivotButton="0" quotePrefix="0" xfId="0"/>
    <xf numFmtId="164" fontId="0" fillId="12" borderId="1" pivotButton="0" quotePrefix="0" xfId="0"/>
    <xf numFmtId="164" fontId="14" fillId="13" borderId="1" applyAlignment="1" pivotButton="0" quotePrefix="0" xfId="0">
      <alignment horizontal="right" vertical="center"/>
    </xf>
    <xf numFmtId="165" fontId="14" fillId="13" borderId="1" applyAlignment="1" pivotButton="0" quotePrefix="0" xfId="0">
      <alignment horizontal="right" vertical="center"/>
    </xf>
    <xf numFmtId="164" fontId="14" fillId="14" borderId="1" applyAlignment="1" pivotButton="0" quotePrefix="0" xfId="0">
      <alignment horizontal="right" vertical="center"/>
    </xf>
    <xf numFmtId="165" fontId="14" fillId="14" borderId="1" applyAlignment="1" pivotButton="0" quotePrefix="0" xfId="0">
      <alignment horizontal="right" vertical="center"/>
    </xf>
    <xf numFmtId="0" fontId="15" fillId="3" borderId="4" applyAlignment="1" pivotButton="0" quotePrefix="0" xfId="0">
      <alignment horizontal="left" vertical="center" indent="1"/>
    </xf>
    <xf numFmtId="164" fontId="15" fillId="3" borderId="4" applyAlignment="1" pivotButton="0" quotePrefix="0" xfId="0">
      <alignment horizontal="right" vertical="center"/>
    </xf>
    <xf numFmtId="165" fontId="15" fillId="3" borderId="4" applyAlignment="1" pivotButton="0" quotePrefix="0" xfId="0">
      <alignment horizontal="right" vertical="center"/>
    </xf>
    <xf numFmtId="0" fontId="9" fillId="15" borderId="1" applyAlignment="1" pivotButton="0" quotePrefix="0" xfId="0">
      <alignment horizontal="left" vertical="center" indent="1"/>
    </xf>
    <xf numFmtId="166" fontId="13" fillId="13" borderId="1" applyAlignment="1" pivotButton="0" quotePrefix="0" xfId="0">
      <alignment horizontal="right" vertical="center"/>
    </xf>
    <xf numFmtId="0" fontId="16" fillId="15" borderId="1" applyAlignment="1" pivotButton="0" quotePrefix="0" xfId="0">
      <alignment horizontal="left" vertical="center" indent="1"/>
    </xf>
    <xf numFmtId="166" fontId="13" fillId="14" borderId="1" applyAlignment="1" pivotButton="0" quotePrefix="0" xfId="0">
      <alignment horizontal="right" vertical="center"/>
    </xf>
    <xf numFmtId="0" fontId="16" fillId="8" borderId="1" applyAlignment="1" pivotButton="0" quotePrefix="0" xfId="0">
      <alignment horizontal="left" vertical="center" indent="1"/>
    </xf>
    <xf numFmtId="0" fontId="0" fillId="15" borderId="1" pivotButton="0" quotePrefix="0" xfId="0"/>
    <xf numFmtId="0" fontId="0" fillId="8" borderId="1" pivotButton="0" quotePrefix="0" xfId="0"/>
    <xf numFmtId="0" fontId="7" fillId="6" borderId="5" applyAlignment="1" pivotButton="0" quotePrefix="0" xfId="0">
      <alignment horizontal="left" vertical="center" indent="1"/>
    </xf>
    <xf numFmtId="164" fontId="7" fillId="6" borderId="5" applyAlignment="1" pivotButton="0" quotePrefix="0" xfId="0">
      <alignment horizontal="right" vertical="center"/>
    </xf>
    <xf numFmtId="166" fontId="7" fillId="6" borderId="5" applyAlignment="1" pivotButton="0" quotePrefix="0" xfId="0">
      <alignment horizontal="right" vertical="center"/>
    </xf>
    <xf numFmtId="0" fontId="0" fillId="6" borderId="5" pivotButton="0" quotePrefix="0" xfId="0"/>
    <xf numFmtId="0" fontId="17" fillId="5" borderId="6" applyAlignment="1" pivotButton="0" quotePrefix="0" xfId="0">
      <alignment horizontal="left" vertical="center" wrapText="1" indent="1"/>
    </xf>
    <xf numFmtId="0" fontId="18" fillId="4" borderId="1" applyAlignment="1" pivotButton="0" quotePrefix="0" xfId="0">
      <alignment horizontal="left" vertical="center"/>
    </xf>
    <xf numFmtId="0" fontId="19" fillId="8" borderId="1" applyAlignment="1" pivotButton="0" quotePrefix="0" xfId="0">
      <alignment horizontal="left" vertical="center" indent="2"/>
    </xf>
    <xf numFmtId="0" fontId="19" fillId="15" borderId="1" applyAlignment="1" pivotButton="0" quotePrefix="0" xfId="0">
      <alignment horizontal="left" vertical="center" indent="2"/>
    </xf>
    <xf numFmtId="0" fontId="20" fillId="16" borderId="1" applyAlignment="1" pivotButton="0" quotePrefix="0" xfId="0">
      <alignment horizontal="left" vertical="center"/>
    </xf>
    <xf numFmtId="0" fontId="21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indent="2"/>
    </xf>
    <xf numFmtId="164" fontId="6" fillId="7" borderId="1" applyAlignment="1" pivotButton="0" quotePrefix="0" xfId="0">
      <alignment horizontal="right" vertical="center"/>
    </xf>
    <xf numFmtId="0" fontId="22" fillId="7" borderId="1" applyAlignment="1" pivotButton="0" quotePrefix="0" xfId="0">
      <alignment horizontal="left" vertical="center" indent="1"/>
    </xf>
    <xf numFmtId="0" fontId="23" fillId="2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24" fillId="15" borderId="2" applyAlignment="1" pivotButton="0" quotePrefix="0" xfId="0">
      <alignment horizontal="left" vertical="top" indent="2"/>
    </xf>
    <xf numFmtId="164" fontId="25" fillId="15" borderId="1" applyAlignment="1" pivotButton="0" quotePrefix="0" xfId="0">
      <alignment horizontal="right" vertical="center" indent="2"/>
    </xf>
    <xf numFmtId="0" fontId="24" fillId="15" borderId="7" applyAlignment="1" pivotButton="0" quotePrefix="0" xfId="0">
      <alignment horizontal="left" vertical="top" indent="2"/>
    </xf>
    <xf numFmtId="164" fontId="26" fillId="15" borderId="1" applyAlignment="1" pivotButton="0" quotePrefix="0" xfId="0">
      <alignment horizontal="right" vertical="center" indent="2"/>
    </xf>
    <xf numFmtId="0" fontId="24" fillId="15" borderId="8" applyAlignment="1" pivotButton="0" quotePrefix="0" xfId="0">
      <alignment horizontal="left" vertical="top" indent="2"/>
    </xf>
    <xf numFmtId="164" fontId="27" fillId="15" borderId="1" applyAlignment="1" pivotButton="0" quotePrefix="0" xfId="0">
      <alignment horizontal="right" vertical="center" indent="2"/>
    </xf>
    <xf numFmtId="165" fontId="27" fillId="15" borderId="1" applyAlignment="1" pivotButton="0" quotePrefix="0" xfId="0">
      <alignment horizontal="right" vertical="center" indent="2"/>
    </xf>
    <xf numFmtId="0" fontId="24" fillId="15" borderId="6" applyAlignment="1" pivotButton="0" quotePrefix="0" xfId="0">
      <alignment horizontal="left" vertical="top" indent="2"/>
    </xf>
    <xf numFmtId="164" fontId="28" fillId="15" borderId="1" applyAlignment="1" pivotButton="0" quotePrefix="0" xfId="0">
      <alignment horizontal="right" vertical="center" indent="2"/>
    </xf>
    <xf numFmtId="0" fontId="24" fillId="15" borderId="9" applyAlignment="1" pivotButton="0" quotePrefix="0" xfId="0">
      <alignment horizontal="left" vertical="top" indent="2"/>
    </xf>
    <xf numFmtId="165" fontId="29" fillId="15" borderId="1" applyAlignment="1" pivotButton="0" quotePrefix="0" xfId="0">
      <alignment horizontal="right" vertical="center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1"/>
  <sheetViews>
    <sheetView showGridLines="0" showRowColHeader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2" customWidth="1" min="3" max="3"/>
    <col width="3" customWidth="1" min="4" max="4"/>
  </cols>
  <sheetData>
    <row r="2" ht="46" customHeight="1">
      <c r="B2" s="1" t="inlineStr">
        <is>
          <t xml:space="preserve">  FinFlowApp — Upload Sjabloon</t>
        </is>
      </c>
    </row>
    <row r="3" ht="24" customHeight="1">
      <c r="B3" s="2" t="inlineStr">
        <is>
          <t xml:space="preserve">  Vul dit sjabloon in en upload het op finflowapp.ai</t>
        </is>
      </c>
    </row>
    <row r="5" ht="24" customHeight="1">
      <c r="B5" s="3" t="inlineStr">
        <is>
          <t xml:space="preserve">  IN 4 STAPPEN KLAAR</t>
        </is>
      </c>
    </row>
    <row r="6" ht="46" customHeight="1">
      <c r="B6" s="4" t="inlineStr">
        <is>
          <t xml:space="preserve">  2   Tabblad 2 — Dagdata</t>
        </is>
      </c>
      <c r="C6" s="5" t="inlineStr">
        <is>
          <t>Vul dagelijks je omzet, kosten en banksaldo in. Dit is het belangrijkste tabblad.</t>
        </is>
      </c>
    </row>
    <row r="7" ht="46" customHeight="1">
      <c r="B7" s="4" t="inlineStr">
        <is>
          <t xml:space="preserve">  3   Tabblad 3 — Kostendata</t>
        </is>
      </c>
      <c r="C7" s="5" t="inlineStr">
        <is>
          <t>Splits je kosten uit per categorie. Zo zie je in het dashboard waar je geld heen gaat.</t>
        </is>
      </c>
    </row>
    <row r="8" ht="46" customHeight="1">
      <c r="B8" s="4" t="inlineStr">
        <is>
          <t xml:space="preserve">  4   Tabblad 4 — Balans</t>
        </is>
      </c>
      <c r="C8" s="5" t="inlineStr">
        <is>
          <t>Vul 1x per maand je debiteuren, crediteuren en kaspositie in.</t>
        </is>
      </c>
    </row>
    <row r="9" ht="46" customHeight="1">
      <c r="B9" s="4" t="inlineStr">
        <is>
          <t xml:space="preserve">  ✓   Upload op finflowapp.ai</t>
        </is>
      </c>
      <c r="C9" s="5" t="inlineStr">
        <is>
          <t>Sleep dit bestand in het dashboard. Je cijfers verschijnen direct.</t>
        </is>
      </c>
    </row>
    <row r="11" ht="24" customHeight="1">
      <c r="B11" s="3" t="inlineStr">
        <is>
          <t xml:space="preserve">  WAT BETEKENEN DE KLEUREN?</t>
        </is>
      </c>
    </row>
    <row r="12" ht="26" customHeight="1">
      <c r="B12" s="6" t="inlineStr">
        <is>
          <t xml:space="preserve">   Blauwe cellen</t>
        </is>
      </c>
      <c r="C12" s="7" t="inlineStr">
        <is>
          <t>Hier vul JIJ gegevens in</t>
        </is>
      </c>
    </row>
    <row r="13" ht="26" customHeight="1">
      <c r="B13" s="8" t="inlineStr">
        <is>
          <t xml:space="preserve">   Groene cellen</t>
        </is>
      </c>
      <c r="C13" s="9" t="inlineStr">
        <is>
          <t>Worden AUTOMATISCH berekend — niet aanpassen</t>
        </is>
      </c>
    </row>
    <row r="14" ht="26" customHeight="1">
      <c r="B14" s="10" t="inlineStr">
        <is>
          <t xml:space="preserve">   Gele cellen</t>
        </is>
      </c>
      <c r="C14" s="11" t="inlineStr">
        <is>
          <t>Belangrijk / verplicht veld</t>
        </is>
      </c>
    </row>
    <row r="16" ht="24" customHeight="1">
      <c r="B16" s="12" t="inlineStr">
        <is>
          <t xml:space="preserve">  3 DINGEN OM TE ONTHOUDEN</t>
        </is>
      </c>
    </row>
    <row r="17" ht="38" customHeight="1">
      <c r="B17" s="13" t="inlineStr">
        <is>
          <t xml:space="preserve">  •  Demo data vervangen</t>
        </is>
      </c>
      <c r="C17" s="14" t="inlineStr">
        <is>
          <t>Tabblad 2 bevat voorbeelddata (rij 2 t/m 91). Verwijder of overschrijf deze met je eigen cijfers.</t>
        </is>
      </c>
    </row>
    <row r="18" ht="38" customHeight="1">
      <c r="B18" s="13" t="inlineStr">
        <is>
          <t xml:space="preserve">  •  Alleen getallen invullen</t>
        </is>
      </c>
      <c r="C18" s="14" t="inlineStr">
        <is>
          <t>Geen €-teken of punten. Schrijf 44200, niet €44.200.</t>
        </is>
      </c>
    </row>
    <row r="19" ht="38" customHeight="1">
      <c r="B19" s="13" t="inlineStr">
        <is>
          <t xml:space="preserve">  •  Datum als DD-MM-JJJJ</t>
        </is>
      </c>
      <c r="C19" s="14" t="inlineStr">
        <is>
          <t>Bijvoorbeeld 15-03-2026.</t>
        </is>
      </c>
    </row>
    <row r="21" ht="26" customHeight="1">
      <c r="B21" s="15" t="inlineStr">
        <is>
          <t xml:space="preserve">  Vragen? Mail naar jenot@finflowapp.ai  ·  finflowapp.ai</t>
        </is>
      </c>
    </row>
  </sheetData>
  <mergeCells count="6">
    <mergeCell ref="B21:C21"/>
    <mergeCell ref="B16:C16"/>
    <mergeCell ref="B2:C2"/>
    <mergeCell ref="B11:C11"/>
    <mergeCell ref="B3:C3"/>
    <mergeCell ref="B5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14" customWidth="1" min="4" max="4"/>
    <col width="17" customWidth="1" min="5" max="5"/>
    <col width="13" customWidth="1" min="6" max="6"/>
    <col width="12" customWidth="1" min="7" max="7"/>
    <col width="12" customWidth="1" min="8" max="8"/>
  </cols>
  <sheetData>
    <row r="1" ht="38" customHeight="1">
      <c r="A1" s="16" t="inlineStr">
        <is>
          <t>Datum
DD-MM-JJJJ</t>
        </is>
      </c>
      <c r="B1" s="17" t="inlineStr">
        <is>
          <t>Omzet
(€)</t>
        </is>
      </c>
      <c r="C1" s="17" t="inlineStr">
        <is>
          <t>Omzet Doel
(€, optioneel)</t>
        </is>
      </c>
      <c r="D1" s="17" t="inlineStr">
        <is>
          <t>Kosten
(€)</t>
        </is>
      </c>
      <c r="E1" s="17" t="inlineStr">
        <is>
          <t>Banksaldo
(€, einde dag)</t>
        </is>
      </c>
      <c r="F1" s="18" t="inlineStr">
        <is>
          <t>Bruto Marge
(auto)</t>
        </is>
      </c>
      <c r="G1" s="18" t="inlineStr">
        <is>
          <t>Marge %
(auto)</t>
        </is>
      </c>
      <c r="H1" s="18" t="inlineStr">
        <is>
          <t>Δ Omzet
(auto)</t>
        </is>
      </c>
    </row>
    <row r="2" ht="17" customHeight="1">
      <c r="A2" s="19" t="inlineStr">
        <is>
          <t>17-02-2026</t>
        </is>
      </c>
      <c r="B2" s="20" t="n">
        <v>3500</v>
      </c>
      <c r="C2" s="21" t="n">
        <v>4410</v>
      </c>
      <c r="D2" s="20" t="n">
        <v>2417</v>
      </c>
      <c r="E2" s="21" t="n">
        <v>870</v>
      </c>
      <c r="F2" s="22">
        <f>IF(B2=0,"-",B2-D2)</f>
        <v/>
      </c>
      <c r="G2" s="23">
        <f>IF(B2=0,"-",(B2-D2)/B2)</f>
        <v/>
      </c>
      <c r="H2" s="23" t="inlineStr">
        <is>
          <t>"-"</t>
        </is>
      </c>
    </row>
    <row r="3" ht="17" customHeight="1">
      <c r="A3" s="19" t="inlineStr">
        <is>
          <t>18-02-2026</t>
        </is>
      </c>
      <c r="B3" s="20" t="n">
        <v>5678</v>
      </c>
      <c r="C3" s="21" t="n">
        <v>4410</v>
      </c>
      <c r="D3" s="20" t="n">
        <v>3512</v>
      </c>
      <c r="E3" s="21" t="n">
        <v>1553</v>
      </c>
      <c r="F3" s="24">
        <f>IF(B3=0,"-",B3-D3)</f>
        <v/>
      </c>
      <c r="G3" s="25">
        <f>IF(B3=0,"-",(B3-D3)/B3)</f>
        <v/>
      </c>
      <c r="H3" s="25">
        <f>IF(OR(B3=0,B2=0),"-",(B3-B2)/B2)</f>
        <v/>
      </c>
    </row>
    <row r="4" ht="17" customHeight="1">
      <c r="A4" s="19" t="inlineStr">
        <is>
          <t>19-02-2026</t>
        </is>
      </c>
      <c r="B4" s="20" t="n">
        <v>4917</v>
      </c>
      <c r="C4" s="21" t="n">
        <v>4410</v>
      </c>
      <c r="D4" s="20" t="n">
        <v>3443</v>
      </c>
      <c r="E4" s="21" t="n">
        <v>1305</v>
      </c>
      <c r="F4" s="22">
        <f>IF(B4=0,"-",B4-D4)</f>
        <v/>
      </c>
      <c r="G4" s="23">
        <f>IF(B4=0,"-",(B4-D4)/B4)</f>
        <v/>
      </c>
      <c r="H4" s="23">
        <f>IF(OR(B4=0,B3=0),"-",(B4-B3)/B3)</f>
        <v/>
      </c>
    </row>
    <row r="5" ht="17" customHeight="1">
      <c r="A5" s="19" t="inlineStr">
        <is>
          <t>20-02-2026</t>
        </is>
      </c>
      <c r="B5" s="20" t="n">
        <v>4761</v>
      </c>
      <c r="C5" s="21" t="n">
        <v>4410</v>
      </c>
      <c r="D5" s="20" t="n">
        <v>3483</v>
      </c>
      <c r="E5" s="21" t="n">
        <v>1125</v>
      </c>
      <c r="F5" s="24">
        <f>IF(B5=0,"-",B5-D5)</f>
        <v/>
      </c>
      <c r="G5" s="25">
        <f>IF(B5=0,"-",(B5-D5)/B5)</f>
        <v/>
      </c>
      <c r="H5" s="25">
        <f>IF(OR(B5=0,B4=0),"-",(B5-B4)/B4)</f>
        <v/>
      </c>
    </row>
    <row r="6" ht="17" customHeight="1">
      <c r="A6" s="19" t="inlineStr">
        <is>
          <t>21-02-2026</t>
        </is>
      </c>
      <c r="B6" s="20" t="n">
        <v>872</v>
      </c>
      <c r="C6" s="21" t="n">
        <v>1260</v>
      </c>
      <c r="D6" s="20" t="n">
        <v>615</v>
      </c>
      <c r="E6" s="21" t="n">
        <v>186</v>
      </c>
      <c r="F6" s="22">
        <f>IF(B6=0,"-",B6-D6)</f>
        <v/>
      </c>
      <c r="G6" s="23">
        <f>IF(B6=0,"-",(B6-D6)/B6)</f>
        <v/>
      </c>
      <c r="H6" s="23">
        <f>IF(OR(B6=0,B5=0),"-",(B6-B5)/B5)</f>
        <v/>
      </c>
    </row>
    <row r="7" ht="17" customHeight="1">
      <c r="A7" s="19" t="inlineStr">
        <is>
          <t>22-02-2026</t>
        </is>
      </c>
      <c r="B7" s="20" t="n">
        <v>775</v>
      </c>
      <c r="C7" s="21" t="n">
        <v>1260</v>
      </c>
      <c r="D7" s="20" t="n">
        <v>480</v>
      </c>
      <c r="E7" s="21" t="n">
        <v>264</v>
      </c>
      <c r="F7" s="24">
        <f>IF(B7=0,"-",B7-D7)</f>
        <v/>
      </c>
      <c r="G7" s="25">
        <f>IF(B7=0,"-",(B7-D7)/B7)</f>
        <v/>
      </c>
      <c r="H7" s="25">
        <f>IF(OR(B7=0,B6=0),"-",(B7-B6)/B6)</f>
        <v/>
      </c>
    </row>
    <row r="8" ht="17" customHeight="1">
      <c r="A8" s="19" t="inlineStr">
        <is>
          <t>23-02-2026</t>
        </is>
      </c>
      <c r="B8" s="20" t="n">
        <v>4472</v>
      </c>
      <c r="C8" s="21" t="n">
        <v>4410</v>
      </c>
      <c r="D8" s="20" t="n">
        <v>3339</v>
      </c>
      <c r="E8" s="21" t="n">
        <v>969</v>
      </c>
      <c r="F8" s="22">
        <f>IF(B8=0,"-",B8-D8)</f>
        <v/>
      </c>
      <c r="G8" s="23">
        <f>IF(B8=0,"-",(B8-D8)/B8)</f>
        <v/>
      </c>
      <c r="H8" s="23">
        <f>IF(OR(B8=0,B7=0),"-",(B8-B7)/B7)</f>
        <v/>
      </c>
    </row>
    <row r="9" ht="17" customHeight="1">
      <c r="A9" s="19" t="inlineStr">
        <is>
          <t>24-02-2026</t>
        </is>
      </c>
      <c r="B9" s="20" t="n">
        <v>5147</v>
      </c>
      <c r="C9" s="21" t="n">
        <v>4410</v>
      </c>
      <c r="D9" s="20" t="n">
        <v>3283</v>
      </c>
      <c r="E9" s="21" t="n">
        <v>1352</v>
      </c>
      <c r="F9" s="24">
        <f>IF(B9=0,"-",B9-D9)</f>
        <v/>
      </c>
      <c r="G9" s="25">
        <f>IF(B9=0,"-",(B9-D9)/B9)</f>
        <v/>
      </c>
      <c r="H9" s="25">
        <f>IF(OR(B9=0,B8=0),"-",(B9-B8)/B8)</f>
        <v/>
      </c>
    </row>
    <row r="10" ht="17" customHeight="1">
      <c r="A10" s="19" t="inlineStr">
        <is>
          <t>25-02-2026</t>
        </is>
      </c>
      <c r="B10" s="20" t="n">
        <v>6031</v>
      </c>
      <c r="C10" s="21" t="n">
        <v>4410</v>
      </c>
      <c r="D10" s="20" t="n">
        <v>4627</v>
      </c>
      <c r="E10" s="21" t="n">
        <v>1252</v>
      </c>
      <c r="F10" s="22">
        <f>IF(B10=0,"-",B10-D10)</f>
        <v/>
      </c>
      <c r="G10" s="23">
        <f>IF(B10=0,"-",(B10-D10)/B10)</f>
        <v/>
      </c>
      <c r="H10" s="23">
        <f>IF(OR(B10=0,B9=0),"-",(B10-B9)/B9)</f>
        <v/>
      </c>
    </row>
    <row r="11" ht="17" customHeight="1">
      <c r="A11" s="19" t="inlineStr">
        <is>
          <t>26-02-2026</t>
        </is>
      </c>
      <c r="B11" s="20" t="n">
        <v>6089</v>
      </c>
      <c r="C11" s="21" t="n">
        <v>4410</v>
      </c>
      <c r="D11" s="20" t="n">
        <v>4216</v>
      </c>
      <c r="E11" s="21" t="n">
        <v>1260</v>
      </c>
      <c r="F11" s="24">
        <f>IF(B11=0,"-",B11-D11)</f>
        <v/>
      </c>
      <c r="G11" s="25">
        <f>IF(B11=0,"-",(B11-D11)/B11)</f>
        <v/>
      </c>
      <c r="H11" s="25">
        <f>IF(OR(B11=0,B10=0),"-",(B11-B10)/B10)</f>
        <v/>
      </c>
    </row>
    <row r="12" ht="17" customHeight="1">
      <c r="A12" s="19" t="inlineStr">
        <is>
          <t>27-02-2026</t>
        </is>
      </c>
      <c r="B12" s="20" t="n">
        <v>4151</v>
      </c>
      <c r="C12" s="21" t="n">
        <v>4410</v>
      </c>
      <c r="D12" s="20" t="n">
        <v>2907</v>
      </c>
      <c r="E12" s="21" t="n">
        <v>918</v>
      </c>
      <c r="F12" s="22">
        <f>IF(B12=0,"-",B12-D12)</f>
        <v/>
      </c>
      <c r="G12" s="23">
        <f>IF(B12=0,"-",(B12-D12)/B12)</f>
        <v/>
      </c>
      <c r="H12" s="23">
        <f>IF(OR(B12=0,B11=0),"-",(B12-B11)/B11)</f>
        <v/>
      </c>
    </row>
    <row r="13" ht="17" customHeight="1">
      <c r="A13" s="19" t="inlineStr">
        <is>
          <t>28-02-2026</t>
        </is>
      </c>
      <c r="B13" s="20" t="n">
        <v>663</v>
      </c>
      <c r="C13" s="21" t="n">
        <v>1260</v>
      </c>
      <c r="D13" s="20" t="n">
        <v>502</v>
      </c>
      <c r="E13" s="21" t="n">
        <v>139</v>
      </c>
      <c r="F13" s="24">
        <f>IF(B13=0,"-",B13-D13)</f>
        <v/>
      </c>
      <c r="G13" s="25">
        <f>IF(B13=0,"-",(B13-D13)/B13)</f>
        <v/>
      </c>
      <c r="H13" s="25">
        <f>IF(OR(B13=0,B12=0),"-",(B13-B12)/B12)</f>
        <v/>
      </c>
    </row>
    <row r="14" ht="17" customHeight="1">
      <c r="A14" s="19" t="inlineStr">
        <is>
          <t>01-03-2026</t>
        </is>
      </c>
      <c r="B14" s="20" t="n">
        <v>748</v>
      </c>
      <c r="C14" s="21" t="n">
        <v>1260</v>
      </c>
      <c r="D14" s="20" t="n">
        <v>452</v>
      </c>
      <c r="E14" s="21" t="n">
        <v>256</v>
      </c>
      <c r="F14" s="22">
        <f>IF(B14=0,"-",B14-D14)</f>
        <v/>
      </c>
      <c r="G14" s="23">
        <f>IF(B14=0,"-",(B14-D14)/B14)</f>
        <v/>
      </c>
      <c r="H14" s="23">
        <f>IF(OR(B14=0,B13=0),"-",(B14-B13)/B13)</f>
        <v/>
      </c>
    </row>
    <row r="15" ht="17" customHeight="1">
      <c r="A15" s="19" t="inlineStr">
        <is>
          <t>02-03-2026</t>
        </is>
      </c>
      <c r="B15" s="20" t="n">
        <v>4219</v>
      </c>
      <c r="C15" s="21" t="n">
        <v>4410</v>
      </c>
      <c r="D15" s="20" t="n">
        <v>2852</v>
      </c>
      <c r="E15" s="21" t="n">
        <v>1052</v>
      </c>
      <c r="F15" s="24">
        <f>IF(B15=0,"-",B15-D15)</f>
        <v/>
      </c>
      <c r="G15" s="25">
        <f>IF(B15=0,"-",(B15-D15)/B15)</f>
        <v/>
      </c>
      <c r="H15" s="25">
        <f>IF(OR(B15=0,B14=0),"-",(B15-B14)/B14)</f>
        <v/>
      </c>
    </row>
    <row r="16" ht="17" customHeight="1">
      <c r="A16" s="19" t="inlineStr">
        <is>
          <t>03-03-2026</t>
        </is>
      </c>
      <c r="B16" s="20" t="n">
        <v>4872</v>
      </c>
      <c r="C16" s="21" t="n">
        <v>4410</v>
      </c>
      <c r="D16" s="20" t="n">
        <v>3360</v>
      </c>
      <c r="E16" s="21" t="n">
        <v>1036</v>
      </c>
      <c r="F16" s="22">
        <f>IF(B16=0,"-",B16-D16)</f>
        <v/>
      </c>
      <c r="G16" s="23">
        <f>IF(B16=0,"-",(B16-D16)/B16)</f>
        <v/>
      </c>
      <c r="H16" s="23">
        <f>IF(OR(B16=0,B15=0),"-",(B16-B15)/B15)</f>
        <v/>
      </c>
    </row>
    <row r="17" ht="17" customHeight="1">
      <c r="A17" s="19" t="inlineStr">
        <is>
          <t>04-03-2026</t>
        </is>
      </c>
      <c r="B17" s="20" t="n">
        <v>4639</v>
      </c>
      <c r="C17" s="21" t="n">
        <v>4410</v>
      </c>
      <c r="D17" s="20" t="n">
        <v>3410</v>
      </c>
      <c r="E17" s="21" t="n">
        <v>1020</v>
      </c>
      <c r="F17" s="24">
        <f>IF(B17=0,"-",B17-D17)</f>
        <v/>
      </c>
      <c r="G17" s="25">
        <f>IF(B17=0,"-",(B17-D17)/B17)</f>
        <v/>
      </c>
      <c r="H17" s="25">
        <f>IF(OR(B17=0,B16=0),"-",(B17-B16)/B16)</f>
        <v/>
      </c>
    </row>
    <row r="18" ht="17" customHeight="1">
      <c r="A18" s="19" t="inlineStr">
        <is>
          <t>05-03-2026</t>
        </is>
      </c>
      <c r="B18" s="20" t="n">
        <v>4594</v>
      </c>
      <c r="C18" s="21" t="n">
        <v>4410</v>
      </c>
      <c r="D18" s="20" t="n">
        <v>3514</v>
      </c>
      <c r="E18" s="21" t="n">
        <v>786</v>
      </c>
      <c r="F18" s="22">
        <f>IF(B18=0,"-",B18-D18)</f>
        <v/>
      </c>
      <c r="G18" s="23">
        <f>IF(B18=0,"-",(B18-D18)/B18)</f>
        <v/>
      </c>
      <c r="H18" s="23">
        <f>IF(OR(B18=0,B17=0),"-",(B18-B17)/B17)</f>
        <v/>
      </c>
    </row>
    <row r="19" ht="17" customHeight="1">
      <c r="A19" s="19" t="inlineStr">
        <is>
          <t>06-03-2026</t>
        </is>
      </c>
      <c r="B19" s="20" t="n">
        <v>4385</v>
      </c>
      <c r="C19" s="21" t="n">
        <v>4410</v>
      </c>
      <c r="D19" s="20" t="n">
        <v>3362</v>
      </c>
      <c r="E19" s="21" t="n">
        <v>812</v>
      </c>
      <c r="F19" s="24">
        <f>IF(B19=0,"-",B19-D19)</f>
        <v/>
      </c>
      <c r="G19" s="25">
        <f>IF(B19=0,"-",(B19-D19)/B19)</f>
        <v/>
      </c>
      <c r="H19" s="25">
        <f>IF(OR(B19=0,B18=0),"-",(B19-B18)/B18)</f>
        <v/>
      </c>
    </row>
    <row r="20" ht="17" customHeight="1">
      <c r="A20" s="19" t="inlineStr">
        <is>
          <t>07-03-2026</t>
        </is>
      </c>
      <c r="B20" s="20" t="n">
        <v>706</v>
      </c>
      <c r="C20" s="21" t="n">
        <v>1260</v>
      </c>
      <c r="D20" s="20" t="n">
        <v>427</v>
      </c>
      <c r="E20" s="21" t="n">
        <v>200</v>
      </c>
      <c r="F20" s="22">
        <f>IF(B20=0,"-",B20-D20)</f>
        <v/>
      </c>
      <c r="G20" s="23">
        <f>IF(B20=0,"-",(B20-D20)/B20)</f>
        <v/>
      </c>
      <c r="H20" s="23">
        <f>IF(OR(B20=0,B19=0),"-",(B20-B19)/B19)</f>
        <v/>
      </c>
    </row>
    <row r="21" ht="17" customHeight="1">
      <c r="A21" s="19" t="inlineStr">
        <is>
          <t>08-03-2026</t>
        </is>
      </c>
      <c r="B21" s="20" t="n">
        <v>428</v>
      </c>
      <c r="C21" s="21" t="n">
        <v>1260</v>
      </c>
      <c r="D21" s="20" t="n">
        <v>261</v>
      </c>
      <c r="E21" s="21" t="n">
        <v>144</v>
      </c>
      <c r="F21" s="24">
        <f>IF(B21=0,"-",B21-D21)</f>
        <v/>
      </c>
      <c r="G21" s="25">
        <f>IF(B21=0,"-",(B21-D21)/B21)</f>
        <v/>
      </c>
      <c r="H21" s="25">
        <f>IF(OR(B21=0,B20=0),"-",(B21-B20)/B20)</f>
        <v/>
      </c>
    </row>
    <row r="22" ht="17" customHeight="1">
      <c r="A22" s="19" t="inlineStr">
        <is>
          <t>09-03-2026</t>
        </is>
      </c>
      <c r="B22" s="20" t="n">
        <v>5757</v>
      </c>
      <c r="C22" s="21" t="n">
        <v>4410</v>
      </c>
      <c r="D22" s="20" t="n">
        <v>3560</v>
      </c>
      <c r="E22" s="21" t="n">
        <v>1838</v>
      </c>
      <c r="F22" s="22">
        <f>IF(B22=0,"-",B22-D22)</f>
        <v/>
      </c>
      <c r="G22" s="23">
        <f>IF(B22=0,"-",(B22-D22)/B22)</f>
        <v/>
      </c>
      <c r="H22" s="23">
        <f>IF(OR(B22=0,B21=0),"-",(B22-B21)/B21)</f>
        <v/>
      </c>
    </row>
    <row r="23" ht="17" customHeight="1">
      <c r="A23" s="19" t="inlineStr">
        <is>
          <t>10-03-2026</t>
        </is>
      </c>
      <c r="B23" s="20" t="n">
        <v>4532</v>
      </c>
      <c r="C23" s="21" t="n">
        <v>4410</v>
      </c>
      <c r="D23" s="20" t="n">
        <v>3112</v>
      </c>
      <c r="E23" s="21" t="n">
        <v>1021</v>
      </c>
      <c r="F23" s="24">
        <f>IF(B23=0,"-",B23-D23)</f>
        <v/>
      </c>
      <c r="G23" s="25">
        <f>IF(B23=0,"-",(B23-D23)/B23)</f>
        <v/>
      </c>
      <c r="H23" s="25">
        <f>IF(OR(B23=0,B22=0),"-",(B23-B22)/B22)</f>
        <v/>
      </c>
    </row>
    <row r="24" ht="17" customHeight="1">
      <c r="A24" s="19" t="inlineStr">
        <is>
          <t>11-03-2026</t>
        </is>
      </c>
      <c r="B24" s="20" t="n">
        <v>5755</v>
      </c>
      <c r="C24" s="21" t="n">
        <v>4410</v>
      </c>
      <c r="D24" s="20" t="n">
        <v>4102</v>
      </c>
      <c r="E24" s="21" t="n">
        <v>1301</v>
      </c>
      <c r="F24" s="22">
        <f>IF(B24=0,"-",B24-D24)</f>
        <v/>
      </c>
      <c r="G24" s="23">
        <f>IF(B24=0,"-",(B24-D24)/B24)</f>
        <v/>
      </c>
      <c r="H24" s="23">
        <f>IF(OR(B24=0,B23=0),"-",(B24-B23)/B23)</f>
        <v/>
      </c>
    </row>
    <row r="25" ht="17" customHeight="1">
      <c r="A25" s="19" t="inlineStr">
        <is>
          <t>12-03-2026</t>
        </is>
      </c>
      <c r="B25" s="20" t="n">
        <v>4530</v>
      </c>
      <c r="C25" s="21" t="n">
        <v>4410</v>
      </c>
      <c r="D25" s="20" t="n">
        <v>3476</v>
      </c>
      <c r="E25" s="21" t="n">
        <v>997</v>
      </c>
      <c r="F25" s="24">
        <f>IF(B25=0,"-",B25-D25)</f>
        <v/>
      </c>
      <c r="G25" s="25">
        <f>IF(B25=0,"-",(B25-D25)/B25)</f>
        <v/>
      </c>
      <c r="H25" s="25">
        <f>IF(OR(B25=0,B24=0),"-",(B25-B24)/B24)</f>
        <v/>
      </c>
    </row>
    <row r="26" ht="17" customHeight="1">
      <c r="A26" s="19" t="inlineStr">
        <is>
          <t>13-03-2026</t>
        </is>
      </c>
      <c r="B26" s="20" t="n">
        <v>4754</v>
      </c>
      <c r="C26" s="21" t="n">
        <v>4410</v>
      </c>
      <c r="D26" s="20" t="n">
        <v>3331</v>
      </c>
      <c r="E26" s="21" t="n">
        <v>1211</v>
      </c>
      <c r="F26" s="22">
        <f>IF(B26=0,"-",B26-D26)</f>
        <v/>
      </c>
      <c r="G26" s="23">
        <f>IF(B26=0,"-",(B26-D26)/B26)</f>
        <v/>
      </c>
      <c r="H26" s="23">
        <f>IF(OR(B26=0,B25=0),"-",(B26-B25)/B25)</f>
        <v/>
      </c>
    </row>
    <row r="27" ht="17" customHeight="1">
      <c r="A27" s="19" t="inlineStr">
        <is>
          <t>14-03-2026</t>
        </is>
      </c>
      <c r="B27" s="20" t="n">
        <v>556</v>
      </c>
      <c r="C27" s="21" t="n">
        <v>1260</v>
      </c>
      <c r="D27" s="20" t="n">
        <v>414</v>
      </c>
      <c r="E27" s="21" t="n">
        <v>114</v>
      </c>
      <c r="F27" s="24">
        <f>IF(B27=0,"-",B27-D27)</f>
        <v/>
      </c>
      <c r="G27" s="25">
        <f>IF(B27=0,"-",(B27-D27)/B27)</f>
        <v/>
      </c>
      <c r="H27" s="25">
        <f>IF(OR(B27=0,B26=0),"-",(B27-B26)/B26)</f>
        <v/>
      </c>
    </row>
    <row r="28" ht="17" customHeight="1">
      <c r="A28" s="19" t="inlineStr">
        <is>
          <t>15-03-2026</t>
        </is>
      </c>
      <c r="B28" s="20" t="n">
        <v>678</v>
      </c>
      <c r="C28" s="21" t="n">
        <v>1260</v>
      </c>
      <c r="D28" s="20" t="n">
        <v>515</v>
      </c>
      <c r="E28" s="21" t="n">
        <v>127</v>
      </c>
      <c r="F28" s="22">
        <f>IF(B28=0,"-",B28-D28)</f>
        <v/>
      </c>
      <c r="G28" s="23">
        <f>IF(B28=0,"-",(B28-D28)/B28)</f>
        <v/>
      </c>
      <c r="H28" s="23">
        <f>IF(OR(B28=0,B27=0),"-",(B28-B27)/B27)</f>
        <v/>
      </c>
    </row>
    <row r="29" ht="17" customHeight="1">
      <c r="A29" s="19" t="inlineStr">
        <is>
          <t>16-03-2026</t>
        </is>
      </c>
      <c r="B29" s="20" t="n">
        <v>4015</v>
      </c>
      <c r="C29" s="21" t="n">
        <v>4410</v>
      </c>
      <c r="D29" s="20" t="n">
        <v>2603</v>
      </c>
      <c r="E29" s="21" t="n">
        <v>932</v>
      </c>
      <c r="F29" s="24">
        <f>IF(B29=0,"-",B29-D29)</f>
        <v/>
      </c>
      <c r="G29" s="25">
        <f>IF(B29=0,"-",(B29-D29)/B29)</f>
        <v/>
      </c>
      <c r="H29" s="25">
        <f>IF(OR(B29=0,B28=0),"-",(B29-B28)/B28)</f>
        <v/>
      </c>
    </row>
    <row r="30" ht="17" customHeight="1">
      <c r="A30" s="19" t="inlineStr">
        <is>
          <t>17-03-2026</t>
        </is>
      </c>
      <c r="B30" s="20" t="n">
        <v>5078</v>
      </c>
      <c r="C30" s="21" t="n">
        <v>4410</v>
      </c>
      <c r="D30" s="20" t="n">
        <v>3593</v>
      </c>
      <c r="E30" s="21" t="n">
        <v>1169</v>
      </c>
      <c r="F30" s="22">
        <f>IF(B30=0,"-",B30-D30)</f>
        <v/>
      </c>
      <c r="G30" s="23">
        <f>IF(B30=0,"-",(B30-D30)/B30)</f>
        <v/>
      </c>
      <c r="H30" s="23">
        <f>IF(OR(B30=0,B29=0),"-",(B30-B29)/B29)</f>
        <v/>
      </c>
    </row>
    <row r="31" ht="17" customHeight="1">
      <c r="A31" s="19" t="inlineStr">
        <is>
          <t>18-03-2026</t>
        </is>
      </c>
      <c r="B31" s="20" t="n">
        <v>4687</v>
      </c>
      <c r="C31" s="21" t="n">
        <v>4410</v>
      </c>
      <c r="D31" s="20" t="n">
        <v>3225</v>
      </c>
      <c r="E31" s="21" t="n">
        <v>1354</v>
      </c>
      <c r="F31" s="24">
        <f>IF(B31=0,"-",B31-D31)</f>
        <v/>
      </c>
      <c r="G31" s="25">
        <f>IF(B31=0,"-",(B31-D31)/B31)</f>
        <v/>
      </c>
      <c r="H31" s="25">
        <f>IF(OR(B31=0,B30=0),"-",(B31-B30)/B30)</f>
        <v/>
      </c>
    </row>
    <row r="32" ht="17" customHeight="1">
      <c r="A32" s="19" t="inlineStr">
        <is>
          <t>19-03-2026</t>
        </is>
      </c>
      <c r="B32" s="20" t="n">
        <v>3915</v>
      </c>
      <c r="C32" s="21" t="n">
        <v>4410</v>
      </c>
      <c r="D32" s="20" t="n">
        <v>2691</v>
      </c>
      <c r="E32" s="21" t="n">
        <v>983</v>
      </c>
      <c r="F32" s="22">
        <f>IF(B32=0,"-",B32-D32)</f>
        <v/>
      </c>
      <c r="G32" s="23">
        <f>IF(B32=0,"-",(B32-D32)/B32)</f>
        <v/>
      </c>
      <c r="H32" s="23">
        <f>IF(OR(B32=0,B31=0),"-",(B32-B31)/B31)</f>
        <v/>
      </c>
    </row>
    <row r="33" ht="17" customHeight="1">
      <c r="A33" s="19" t="inlineStr">
        <is>
          <t>20-03-2026</t>
        </is>
      </c>
      <c r="B33" s="20" t="n">
        <v>5579</v>
      </c>
      <c r="C33" s="21" t="n">
        <v>4410</v>
      </c>
      <c r="D33" s="20" t="n">
        <v>4159</v>
      </c>
      <c r="E33" s="21" t="n">
        <v>1161</v>
      </c>
      <c r="F33" s="24">
        <f>IF(B33=0,"-",B33-D33)</f>
        <v/>
      </c>
      <c r="G33" s="25">
        <f>IF(B33=0,"-",(B33-D33)/B33)</f>
        <v/>
      </c>
      <c r="H33" s="25">
        <f>IF(OR(B33=0,B32=0),"-",(B33-B32)/B32)</f>
        <v/>
      </c>
    </row>
    <row r="34" ht="17" customHeight="1">
      <c r="A34" s="19" t="inlineStr">
        <is>
          <t>21-03-2026</t>
        </is>
      </c>
      <c r="B34" s="20" t="n">
        <v>984</v>
      </c>
      <c r="C34" s="21" t="n">
        <v>1260</v>
      </c>
      <c r="D34" s="20" t="n">
        <v>738</v>
      </c>
      <c r="E34" s="21" t="n">
        <v>183</v>
      </c>
      <c r="F34" s="22">
        <f>IF(B34=0,"-",B34-D34)</f>
        <v/>
      </c>
      <c r="G34" s="23">
        <f>IF(B34=0,"-",(B34-D34)/B34)</f>
        <v/>
      </c>
      <c r="H34" s="23">
        <f>IF(OR(B34=0,B33=0),"-",(B34-B33)/B33)</f>
        <v/>
      </c>
    </row>
    <row r="35" ht="17" customHeight="1">
      <c r="A35" s="19" t="inlineStr">
        <is>
          <t>22-03-2026</t>
        </is>
      </c>
      <c r="B35" s="20" t="n">
        <v>991</v>
      </c>
      <c r="C35" s="21" t="n">
        <v>1260</v>
      </c>
      <c r="D35" s="20" t="n">
        <v>612</v>
      </c>
      <c r="E35" s="21" t="n">
        <v>325</v>
      </c>
      <c r="F35" s="24">
        <f>IF(B35=0,"-",B35-D35)</f>
        <v/>
      </c>
      <c r="G35" s="25">
        <f>IF(B35=0,"-",(B35-D35)/B35)</f>
        <v/>
      </c>
      <c r="H35" s="25">
        <f>IF(OR(B35=0,B34=0),"-",(B35-B34)/B34)</f>
        <v/>
      </c>
    </row>
    <row r="36" ht="17" customHeight="1">
      <c r="A36" s="19" t="inlineStr">
        <is>
          <t>23-03-2026</t>
        </is>
      </c>
      <c r="B36" s="20" t="n">
        <v>5458</v>
      </c>
      <c r="C36" s="21" t="n">
        <v>4410</v>
      </c>
      <c r="D36" s="20" t="n">
        <v>3781</v>
      </c>
      <c r="E36" s="21" t="n">
        <v>1318</v>
      </c>
      <c r="F36" s="22">
        <f>IF(B36=0,"-",B36-D36)</f>
        <v/>
      </c>
      <c r="G36" s="23">
        <f>IF(B36=0,"-",(B36-D36)/B36)</f>
        <v/>
      </c>
      <c r="H36" s="23">
        <f>IF(OR(B36=0,B35=0),"-",(B36-B35)/B35)</f>
        <v/>
      </c>
    </row>
    <row r="37" ht="17" customHeight="1">
      <c r="A37" s="19" t="inlineStr">
        <is>
          <t>24-03-2026</t>
        </is>
      </c>
      <c r="B37" s="20" t="n">
        <v>5988</v>
      </c>
      <c r="C37" s="21" t="n">
        <v>4410</v>
      </c>
      <c r="D37" s="20" t="n">
        <v>4635</v>
      </c>
      <c r="E37" s="21" t="n">
        <v>1221</v>
      </c>
      <c r="F37" s="24">
        <f>IF(B37=0,"-",B37-D37)</f>
        <v/>
      </c>
      <c r="G37" s="25">
        <f>IF(B37=0,"-",(B37-D37)/B37)</f>
        <v/>
      </c>
      <c r="H37" s="25">
        <f>IF(OR(B37=0,B36=0),"-",(B37-B36)/B36)</f>
        <v/>
      </c>
    </row>
    <row r="38" ht="17" customHeight="1">
      <c r="A38" s="19" t="inlineStr">
        <is>
          <t>25-03-2026</t>
        </is>
      </c>
      <c r="B38" s="20" t="n">
        <v>4559</v>
      </c>
      <c r="C38" s="21" t="n">
        <v>4410</v>
      </c>
      <c r="D38" s="20" t="n">
        <v>2788</v>
      </c>
      <c r="E38" s="21" t="n">
        <v>1293</v>
      </c>
      <c r="F38" s="22">
        <f>IF(B38=0,"-",B38-D38)</f>
        <v/>
      </c>
      <c r="G38" s="23">
        <f>IF(B38=0,"-",(B38-D38)/B38)</f>
        <v/>
      </c>
      <c r="H38" s="23">
        <f>IF(OR(B38=0,B37=0),"-",(B38-B37)/B37)</f>
        <v/>
      </c>
    </row>
    <row r="39" ht="17" customHeight="1">
      <c r="A39" s="19" t="inlineStr">
        <is>
          <t>26-03-2026</t>
        </is>
      </c>
      <c r="B39" s="20" t="n">
        <v>4615</v>
      </c>
      <c r="C39" s="21" t="n">
        <v>4410</v>
      </c>
      <c r="D39" s="20" t="n">
        <v>2849</v>
      </c>
      <c r="E39" s="21" t="n">
        <v>1544</v>
      </c>
      <c r="F39" s="24">
        <f>IF(B39=0,"-",B39-D39)</f>
        <v/>
      </c>
      <c r="G39" s="25">
        <f>IF(B39=0,"-",(B39-D39)/B39)</f>
        <v/>
      </c>
      <c r="H39" s="25">
        <f>IF(OR(B39=0,B38=0),"-",(B39-B38)/B38)</f>
        <v/>
      </c>
    </row>
    <row r="40" ht="17" customHeight="1">
      <c r="A40" s="19" t="inlineStr">
        <is>
          <t>27-03-2026</t>
        </is>
      </c>
      <c r="B40" s="20" t="n">
        <v>4359</v>
      </c>
      <c r="C40" s="21" t="n">
        <v>4410</v>
      </c>
      <c r="D40" s="20" t="n">
        <v>2968</v>
      </c>
      <c r="E40" s="21" t="n">
        <v>910</v>
      </c>
      <c r="F40" s="22">
        <f>IF(B40=0,"-",B40-D40)</f>
        <v/>
      </c>
      <c r="G40" s="23">
        <f>IF(B40=0,"-",(B40-D40)/B40)</f>
        <v/>
      </c>
      <c r="H40" s="23">
        <f>IF(OR(B40=0,B39=0),"-",(B40-B39)/B39)</f>
        <v/>
      </c>
    </row>
    <row r="41" ht="17" customHeight="1">
      <c r="A41" s="19" t="inlineStr">
        <is>
          <t>28-03-2026</t>
        </is>
      </c>
      <c r="B41" s="20" t="n">
        <v>336</v>
      </c>
      <c r="C41" s="21" t="n">
        <v>1260</v>
      </c>
      <c r="D41" s="20" t="n">
        <v>237</v>
      </c>
      <c r="E41" s="21" t="n">
        <v>92</v>
      </c>
      <c r="F41" s="24">
        <f>IF(B41=0,"-",B41-D41)</f>
        <v/>
      </c>
      <c r="G41" s="25">
        <f>IF(B41=0,"-",(B41-D41)/B41)</f>
        <v/>
      </c>
      <c r="H41" s="25">
        <f>IF(OR(B41=0,B40=0),"-",(B41-B40)/B40)</f>
        <v/>
      </c>
    </row>
    <row r="42" ht="17" customHeight="1">
      <c r="A42" s="19" t="inlineStr">
        <is>
          <t>29-03-2026</t>
        </is>
      </c>
      <c r="B42" s="20" t="n">
        <v>395</v>
      </c>
      <c r="C42" s="21" t="n">
        <v>1260</v>
      </c>
      <c r="D42" s="20" t="n">
        <v>293</v>
      </c>
      <c r="E42" s="21" t="n">
        <v>74</v>
      </c>
      <c r="F42" s="22">
        <f>IF(B42=0,"-",B42-D42)</f>
        <v/>
      </c>
      <c r="G42" s="23">
        <f>IF(B42=0,"-",(B42-D42)/B42)</f>
        <v/>
      </c>
      <c r="H42" s="23">
        <f>IF(OR(B42=0,B41=0),"-",(B42-B41)/B41)</f>
        <v/>
      </c>
    </row>
    <row r="43" ht="17" customHeight="1">
      <c r="A43" s="19" t="inlineStr">
        <is>
          <t>30-03-2026</t>
        </is>
      </c>
      <c r="B43" s="20" t="n">
        <v>4976</v>
      </c>
      <c r="C43" s="21" t="n">
        <v>4410</v>
      </c>
      <c r="D43" s="20" t="n">
        <v>3659</v>
      </c>
      <c r="E43" s="21" t="n">
        <v>1234</v>
      </c>
      <c r="F43" s="24">
        <f>IF(B43=0,"-",B43-D43)</f>
        <v/>
      </c>
      <c r="G43" s="25">
        <f>IF(B43=0,"-",(B43-D43)/B43)</f>
        <v/>
      </c>
      <c r="H43" s="25">
        <f>IF(OR(B43=0,B42=0),"-",(B43-B42)/B42)</f>
        <v/>
      </c>
    </row>
    <row r="44" ht="17" customHeight="1">
      <c r="A44" s="19" t="inlineStr">
        <is>
          <t>31-03-2026</t>
        </is>
      </c>
      <c r="B44" s="20" t="n">
        <v>5115</v>
      </c>
      <c r="C44" s="21" t="n">
        <v>4410</v>
      </c>
      <c r="D44" s="20" t="n">
        <v>3654</v>
      </c>
      <c r="E44" s="21" t="n">
        <v>1017</v>
      </c>
      <c r="F44" s="22">
        <f>IF(B44=0,"-",B44-D44)</f>
        <v/>
      </c>
      <c r="G44" s="23">
        <f>IF(B44=0,"-",(B44-D44)/B44)</f>
        <v/>
      </c>
      <c r="H44" s="23">
        <f>IF(OR(B44=0,B43=0),"-",(B44-B43)/B43)</f>
        <v/>
      </c>
    </row>
    <row r="45" ht="17" customHeight="1">
      <c r="A45" s="19" t="inlineStr">
        <is>
          <t>01-04-2026</t>
        </is>
      </c>
      <c r="B45" s="20" t="n">
        <v>4072</v>
      </c>
      <c r="C45" s="21" t="n">
        <v>4410</v>
      </c>
      <c r="D45" s="20" t="n">
        <v>2871</v>
      </c>
      <c r="E45" s="21" t="n">
        <v>1058</v>
      </c>
      <c r="F45" s="24">
        <f>IF(B45=0,"-",B45-D45)</f>
        <v/>
      </c>
      <c r="G45" s="25">
        <f>IF(B45=0,"-",(B45-D45)/B45)</f>
        <v/>
      </c>
      <c r="H45" s="25">
        <f>IF(OR(B45=0,B44=0),"-",(B45-B44)/B44)</f>
        <v/>
      </c>
    </row>
    <row r="46" ht="17" customHeight="1">
      <c r="A46" s="19" t="inlineStr">
        <is>
          <t>02-04-2026</t>
        </is>
      </c>
      <c r="B46" s="20" t="n">
        <v>5943</v>
      </c>
      <c r="C46" s="21" t="n">
        <v>4410</v>
      </c>
      <c r="D46" s="20" t="n">
        <v>4092</v>
      </c>
      <c r="E46" s="21" t="n">
        <v>1603</v>
      </c>
      <c r="F46" s="22">
        <f>IF(B46=0,"-",B46-D46)</f>
        <v/>
      </c>
      <c r="G46" s="23">
        <f>IF(B46=0,"-",(B46-D46)/B46)</f>
        <v/>
      </c>
      <c r="H46" s="23">
        <f>IF(OR(B46=0,B45=0),"-",(B46-B45)/B45)</f>
        <v/>
      </c>
    </row>
    <row r="47" ht="17" customHeight="1">
      <c r="A47" s="19" t="inlineStr">
        <is>
          <t>03-04-2026</t>
        </is>
      </c>
      <c r="B47" s="20" t="n">
        <v>3547</v>
      </c>
      <c r="C47" s="21" t="n">
        <v>4410</v>
      </c>
      <c r="D47" s="20" t="n">
        <v>2271</v>
      </c>
      <c r="E47" s="21" t="n">
        <v>1054</v>
      </c>
      <c r="F47" s="24">
        <f>IF(B47=0,"-",B47-D47)</f>
        <v/>
      </c>
      <c r="G47" s="25">
        <f>IF(B47=0,"-",(B47-D47)/B47)</f>
        <v/>
      </c>
      <c r="H47" s="25">
        <f>IF(OR(B47=0,B46=0),"-",(B47-B46)/B46)</f>
        <v/>
      </c>
    </row>
    <row r="48" ht="17" customHeight="1">
      <c r="A48" s="19" t="inlineStr">
        <is>
          <t>04-04-2026</t>
        </is>
      </c>
      <c r="B48" s="20" t="n">
        <v>1020</v>
      </c>
      <c r="C48" s="21" t="n">
        <v>1260</v>
      </c>
      <c r="D48" s="20" t="n">
        <v>773</v>
      </c>
      <c r="E48" s="21" t="n">
        <v>198</v>
      </c>
      <c r="F48" s="22">
        <f>IF(B48=0,"-",B48-D48)</f>
        <v/>
      </c>
      <c r="G48" s="23">
        <f>IF(B48=0,"-",(B48-D48)/B48)</f>
        <v/>
      </c>
      <c r="H48" s="23">
        <f>IF(OR(B48=0,B47=0),"-",(B48-B47)/B47)</f>
        <v/>
      </c>
    </row>
    <row r="49" ht="17" customHeight="1">
      <c r="A49" s="19" t="inlineStr">
        <is>
          <t>05-04-2026</t>
        </is>
      </c>
      <c r="B49" s="20" t="n">
        <v>396</v>
      </c>
      <c r="C49" s="21" t="n">
        <v>1260</v>
      </c>
      <c r="D49" s="20" t="n">
        <v>285</v>
      </c>
      <c r="E49" s="21" t="n">
        <v>103</v>
      </c>
      <c r="F49" s="24">
        <f>IF(B49=0,"-",B49-D49)</f>
        <v/>
      </c>
      <c r="G49" s="25">
        <f>IF(B49=0,"-",(B49-D49)/B49)</f>
        <v/>
      </c>
      <c r="H49" s="25">
        <f>IF(OR(B49=0,B48=0),"-",(B49-B48)/B48)</f>
        <v/>
      </c>
    </row>
    <row r="50" ht="17" customHeight="1">
      <c r="A50" s="19" t="inlineStr">
        <is>
          <t>06-04-2026</t>
        </is>
      </c>
      <c r="B50" s="20" t="n">
        <v>5453</v>
      </c>
      <c r="C50" s="21" t="n">
        <v>4410</v>
      </c>
      <c r="D50" s="20" t="n">
        <v>4170</v>
      </c>
      <c r="E50" s="21" t="n">
        <v>952</v>
      </c>
      <c r="F50" s="22">
        <f>IF(B50=0,"-",B50-D50)</f>
        <v/>
      </c>
      <c r="G50" s="23">
        <f>IF(B50=0,"-",(B50-D50)/B50)</f>
        <v/>
      </c>
      <c r="H50" s="23">
        <f>IF(OR(B50=0,B49=0),"-",(B50-B49)/B49)</f>
        <v/>
      </c>
    </row>
    <row r="51" ht="17" customHeight="1">
      <c r="A51" s="19" t="inlineStr">
        <is>
          <t>07-04-2026</t>
        </is>
      </c>
      <c r="B51" s="20" t="n">
        <v>4361</v>
      </c>
      <c r="C51" s="21" t="n">
        <v>4410</v>
      </c>
      <c r="D51" s="20" t="n">
        <v>3251</v>
      </c>
      <c r="E51" s="21" t="n">
        <v>895</v>
      </c>
      <c r="F51" s="24">
        <f>IF(B51=0,"-",B51-D51)</f>
        <v/>
      </c>
      <c r="G51" s="25">
        <f>IF(B51=0,"-",(B51-D51)/B51)</f>
        <v/>
      </c>
      <c r="H51" s="25">
        <f>IF(OR(B51=0,B50=0),"-",(B51-B50)/B50)</f>
        <v/>
      </c>
    </row>
    <row r="52" ht="17" customHeight="1">
      <c r="A52" s="19" t="inlineStr">
        <is>
          <t>08-04-2026</t>
        </is>
      </c>
      <c r="B52" s="20" t="n">
        <v>3728</v>
      </c>
      <c r="C52" s="21" t="n">
        <v>4410</v>
      </c>
      <c r="D52" s="20" t="n">
        <v>2246</v>
      </c>
      <c r="E52" s="21" t="n">
        <v>1010</v>
      </c>
      <c r="F52" s="22">
        <f>IF(B52=0,"-",B52-D52)</f>
        <v/>
      </c>
      <c r="G52" s="23">
        <f>IF(B52=0,"-",(B52-D52)/B52)</f>
        <v/>
      </c>
      <c r="H52" s="23">
        <f>IF(OR(B52=0,B51=0),"-",(B52-B51)/B51)</f>
        <v/>
      </c>
    </row>
    <row r="53" ht="17" customHeight="1">
      <c r="A53" s="19" t="inlineStr">
        <is>
          <t>09-04-2026</t>
        </is>
      </c>
      <c r="B53" s="20" t="n">
        <v>5760</v>
      </c>
      <c r="C53" s="21" t="n">
        <v>4410</v>
      </c>
      <c r="D53" s="20" t="n">
        <v>3509</v>
      </c>
      <c r="E53" s="21" t="n">
        <v>1697</v>
      </c>
      <c r="F53" s="24">
        <f>IF(B53=0,"-",B53-D53)</f>
        <v/>
      </c>
      <c r="G53" s="25">
        <f>IF(B53=0,"-",(B53-D53)/B53)</f>
        <v/>
      </c>
      <c r="H53" s="25">
        <f>IF(OR(B53=0,B52=0),"-",(B53-B52)/B52)</f>
        <v/>
      </c>
    </row>
    <row r="54" ht="17" customHeight="1">
      <c r="A54" s="19" t="inlineStr">
        <is>
          <t>10-04-2026</t>
        </is>
      </c>
      <c r="B54" s="20" t="n">
        <v>4189</v>
      </c>
      <c r="C54" s="21" t="n">
        <v>4410</v>
      </c>
      <c r="D54" s="20" t="n">
        <v>3094</v>
      </c>
      <c r="E54" s="21" t="n">
        <v>720</v>
      </c>
      <c r="F54" s="22">
        <f>IF(B54=0,"-",B54-D54)</f>
        <v/>
      </c>
      <c r="G54" s="23">
        <f>IF(B54=0,"-",(B54-D54)/B54)</f>
        <v/>
      </c>
      <c r="H54" s="23">
        <f>IF(OR(B54=0,B53=0),"-",(B54-B53)/B53)</f>
        <v/>
      </c>
    </row>
    <row r="55" ht="17" customHeight="1">
      <c r="A55" s="19" t="inlineStr">
        <is>
          <t>11-04-2026</t>
        </is>
      </c>
      <c r="B55" s="20" t="n">
        <v>700</v>
      </c>
      <c r="C55" s="21" t="n">
        <v>1260</v>
      </c>
      <c r="D55" s="20" t="n">
        <v>461</v>
      </c>
      <c r="E55" s="21" t="n">
        <v>177</v>
      </c>
      <c r="F55" s="24">
        <f>IF(B55=0,"-",B55-D55)</f>
        <v/>
      </c>
      <c r="G55" s="25">
        <f>IF(B55=0,"-",(B55-D55)/B55)</f>
        <v/>
      </c>
      <c r="H55" s="25">
        <f>IF(OR(B55=0,B54=0),"-",(B55-B54)/B54)</f>
        <v/>
      </c>
    </row>
    <row r="56" ht="17" customHeight="1">
      <c r="A56" s="19" t="inlineStr">
        <is>
          <t>12-04-2026</t>
        </is>
      </c>
      <c r="B56" s="20" t="n">
        <v>569</v>
      </c>
      <c r="C56" s="21" t="n">
        <v>1260</v>
      </c>
      <c r="D56" s="20" t="n">
        <v>354</v>
      </c>
      <c r="E56" s="21" t="n">
        <v>201</v>
      </c>
      <c r="F56" s="22">
        <f>IF(B56=0,"-",B56-D56)</f>
        <v/>
      </c>
      <c r="G56" s="23">
        <f>IF(B56=0,"-",(B56-D56)/B56)</f>
        <v/>
      </c>
      <c r="H56" s="23">
        <f>IF(OR(B56=0,B55=0),"-",(B56-B55)/B55)</f>
        <v/>
      </c>
    </row>
    <row r="57" ht="17" customHeight="1">
      <c r="A57" s="19" t="inlineStr">
        <is>
          <t>13-04-2026</t>
        </is>
      </c>
      <c r="B57" s="20" t="n">
        <v>4831</v>
      </c>
      <c r="C57" s="21" t="n">
        <v>4410</v>
      </c>
      <c r="D57" s="20" t="n">
        <v>3599</v>
      </c>
      <c r="E57" s="21" t="n">
        <v>858</v>
      </c>
      <c r="F57" s="24">
        <f>IF(B57=0,"-",B57-D57)</f>
        <v/>
      </c>
      <c r="G57" s="25">
        <f>IF(B57=0,"-",(B57-D57)/B57)</f>
        <v/>
      </c>
      <c r="H57" s="25">
        <f>IF(OR(B57=0,B56=0),"-",(B57-B56)/B56)</f>
        <v/>
      </c>
    </row>
    <row r="58" ht="17" customHeight="1">
      <c r="A58" s="19" t="inlineStr">
        <is>
          <t>14-04-2026</t>
        </is>
      </c>
      <c r="B58" s="20" t="n">
        <v>4678</v>
      </c>
      <c r="C58" s="21" t="n">
        <v>4410</v>
      </c>
      <c r="D58" s="20" t="n">
        <v>3172</v>
      </c>
      <c r="E58" s="21" t="n">
        <v>1131</v>
      </c>
      <c r="F58" s="22">
        <f>IF(B58=0,"-",B58-D58)</f>
        <v/>
      </c>
      <c r="G58" s="23">
        <f>IF(B58=0,"-",(B58-D58)/B58)</f>
        <v/>
      </c>
      <c r="H58" s="23">
        <f>IF(OR(B58=0,B57=0),"-",(B58-B57)/B57)</f>
        <v/>
      </c>
    </row>
    <row r="59" ht="17" customHeight="1">
      <c r="A59" s="19" t="inlineStr">
        <is>
          <t>15-04-2026</t>
        </is>
      </c>
      <c r="B59" s="20" t="n">
        <v>4909</v>
      </c>
      <c r="C59" s="21" t="n">
        <v>4410</v>
      </c>
      <c r="D59" s="20" t="n">
        <v>3545</v>
      </c>
      <c r="E59" s="21" t="n">
        <v>915</v>
      </c>
      <c r="F59" s="24">
        <f>IF(B59=0,"-",B59-D59)</f>
        <v/>
      </c>
      <c r="G59" s="25">
        <f>IF(B59=0,"-",(B59-D59)/B59)</f>
        <v/>
      </c>
      <c r="H59" s="25">
        <f>IF(OR(B59=0,B58=0),"-",(B59-B58)/B58)</f>
        <v/>
      </c>
    </row>
    <row r="60" ht="17" customHeight="1">
      <c r="A60" s="19" t="inlineStr">
        <is>
          <t>16-04-2026</t>
        </is>
      </c>
      <c r="B60" s="20" t="n">
        <v>4324</v>
      </c>
      <c r="C60" s="21" t="n">
        <v>4410</v>
      </c>
      <c r="D60" s="20" t="n">
        <v>2747</v>
      </c>
      <c r="E60" s="21" t="n">
        <v>1461</v>
      </c>
      <c r="F60" s="22">
        <f>IF(B60=0,"-",B60-D60)</f>
        <v/>
      </c>
      <c r="G60" s="23">
        <f>IF(B60=0,"-",(B60-D60)/B60)</f>
        <v/>
      </c>
      <c r="H60" s="23">
        <f>IF(OR(B60=0,B59=0),"-",(B60-B59)/B59)</f>
        <v/>
      </c>
    </row>
    <row r="61" ht="17" customHeight="1">
      <c r="A61" s="19" t="inlineStr">
        <is>
          <t>17-04-2026</t>
        </is>
      </c>
      <c r="B61" s="20" t="n">
        <v>3283</v>
      </c>
      <c r="C61" s="21" t="n">
        <v>4410</v>
      </c>
      <c r="D61" s="20" t="n">
        <v>2292</v>
      </c>
      <c r="E61" s="21" t="n">
        <v>894</v>
      </c>
      <c r="F61" s="24">
        <f>IF(B61=0,"-",B61-D61)</f>
        <v/>
      </c>
      <c r="G61" s="25">
        <f>IF(B61=0,"-",(B61-D61)/B61)</f>
        <v/>
      </c>
      <c r="H61" s="25">
        <f>IF(OR(B61=0,B60=0),"-",(B61-B60)/B60)</f>
        <v/>
      </c>
    </row>
    <row r="62" ht="17" customHeight="1">
      <c r="A62" s="19" t="inlineStr">
        <is>
          <t>18-04-2026</t>
        </is>
      </c>
      <c r="B62" s="20" t="n">
        <v>659</v>
      </c>
      <c r="C62" s="21" t="n">
        <v>1260</v>
      </c>
      <c r="D62" s="20" t="n">
        <v>485</v>
      </c>
      <c r="E62" s="21" t="n">
        <v>123</v>
      </c>
      <c r="F62" s="22">
        <f>IF(B62=0,"-",B62-D62)</f>
        <v/>
      </c>
      <c r="G62" s="23">
        <f>IF(B62=0,"-",(B62-D62)/B62)</f>
        <v/>
      </c>
      <c r="H62" s="23">
        <f>IF(OR(B62=0,B61=0),"-",(B62-B61)/B61)</f>
        <v/>
      </c>
    </row>
    <row r="63" ht="17" customHeight="1">
      <c r="A63" s="19" t="inlineStr">
        <is>
          <t>19-04-2026</t>
        </is>
      </c>
      <c r="B63" s="20" t="n">
        <v>844</v>
      </c>
      <c r="C63" s="21" t="n">
        <v>1260</v>
      </c>
      <c r="D63" s="20" t="n">
        <v>640</v>
      </c>
      <c r="E63" s="21" t="n">
        <v>141</v>
      </c>
      <c r="F63" s="24">
        <f>IF(B63=0,"-",B63-D63)</f>
        <v/>
      </c>
      <c r="G63" s="25">
        <f>IF(B63=0,"-",(B63-D63)/B63)</f>
        <v/>
      </c>
      <c r="H63" s="25">
        <f>IF(OR(B63=0,B62=0),"-",(B63-B62)/B62)</f>
        <v/>
      </c>
    </row>
    <row r="64" ht="17" customHeight="1">
      <c r="A64" s="19" t="inlineStr">
        <is>
          <t>20-04-2026</t>
        </is>
      </c>
      <c r="B64" s="20" t="n">
        <v>4708</v>
      </c>
      <c r="C64" s="21" t="n">
        <v>4410</v>
      </c>
      <c r="D64" s="20" t="n">
        <v>3490</v>
      </c>
      <c r="E64" s="21" t="n">
        <v>981</v>
      </c>
      <c r="F64" s="22">
        <f>IF(B64=0,"-",B64-D64)</f>
        <v/>
      </c>
      <c r="G64" s="23">
        <f>IF(B64=0,"-",(B64-D64)/B64)</f>
        <v/>
      </c>
      <c r="H64" s="23">
        <f>IF(OR(B64=0,B63=0),"-",(B64-B63)/B63)</f>
        <v/>
      </c>
    </row>
    <row r="65" ht="17" customHeight="1">
      <c r="A65" s="19" t="inlineStr">
        <is>
          <t>21-04-2026</t>
        </is>
      </c>
      <c r="B65" s="20" t="n">
        <v>5962</v>
      </c>
      <c r="C65" s="21" t="n">
        <v>4410</v>
      </c>
      <c r="D65" s="20" t="n">
        <v>3749</v>
      </c>
      <c r="E65" s="21" t="n">
        <v>1999</v>
      </c>
      <c r="F65" s="24">
        <f>IF(B65=0,"-",B65-D65)</f>
        <v/>
      </c>
      <c r="G65" s="25">
        <f>IF(B65=0,"-",(B65-D65)/B65)</f>
        <v/>
      </c>
      <c r="H65" s="25">
        <f>IF(OR(B65=0,B64=0),"-",(B65-B64)/B64)</f>
        <v/>
      </c>
    </row>
    <row r="66" ht="17" customHeight="1">
      <c r="A66" s="19" t="inlineStr">
        <is>
          <t>22-04-2026</t>
        </is>
      </c>
      <c r="B66" s="20" t="n">
        <v>4297</v>
      </c>
      <c r="C66" s="21" t="n">
        <v>4410</v>
      </c>
      <c r="D66" s="20" t="n">
        <v>2907</v>
      </c>
      <c r="E66" s="21" t="n">
        <v>1076</v>
      </c>
      <c r="F66" s="22">
        <f>IF(B66=0,"-",B66-D66)</f>
        <v/>
      </c>
      <c r="G66" s="23">
        <f>IF(B66=0,"-",(B66-D66)/B66)</f>
        <v/>
      </c>
      <c r="H66" s="23">
        <f>IF(OR(B66=0,B65=0),"-",(B66-B65)/B65)</f>
        <v/>
      </c>
    </row>
    <row r="67" ht="17" customHeight="1">
      <c r="A67" s="19" t="inlineStr">
        <is>
          <t>23-04-2026</t>
        </is>
      </c>
      <c r="B67" s="20" t="n">
        <v>3381</v>
      </c>
      <c r="C67" s="21" t="n">
        <v>4410</v>
      </c>
      <c r="D67" s="20" t="n">
        <v>2214</v>
      </c>
      <c r="E67" s="21" t="n">
        <v>879</v>
      </c>
      <c r="F67" s="24">
        <f>IF(B67=0,"-",B67-D67)</f>
        <v/>
      </c>
      <c r="G67" s="25">
        <f>IF(B67=0,"-",(B67-D67)/B67)</f>
        <v/>
      </c>
      <c r="H67" s="25">
        <f>IF(OR(B67=0,B66=0),"-",(B67-B66)/B66)</f>
        <v/>
      </c>
    </row>
    <row r="68" ht="17" customHeight="1">
      <c r="A68" s="19" t="inlineStr">
        <is>
          <t>24-04-2026</t>
        </is>
      </c>
      <c r="B68" s="20" t="n">
        <v>3925</v>
      </c>
      <c r="C68" s="21" t="n">
        <v>4410</v>
      </c>
      <c r="D68" s="20" t="n">
        <v>2707</v>
      </c>
      <c r="E68" s="21" t="n">
        <v>1077</v>
      </c>
      <c r="F68" s="22">
        <f>IF(B68=0,"-",B68-D68)</f>
        <v/>
      </c>
      <c r="G68" s="23">
        <f>IF(B68=0,"-",(B68-D68)/B68)</f>
        <v/>
      </c>
      <c r="H68" s="23">
        <f>IF(OR(B68=0,B67=0),"-",(B68-B67)/B67)</f>
        <v/>
      </c>
    </row>
    <row r="69" ht="17" customHeight="1">
      <c r="A69" s="19" t="inlineStr">
        <is>
          <t>25-04-2026</t>
        </is>
      </c>
      <c r="B69" s="20" t="n">
        <v>633</v>
      </c>
      <c r="C69" s="21" t="n">
        <v>1260</v>
      </c>
      <c r="D69" s="20" t="n">
        <v>433</v>
      </c>
      <c r="E69" s="21" t="n">
        <v>150</v>
      </c>
      <c r="F69" s="24">
        <f>IF(B69=0,"-",B69-D69)</f>
        <v/>
      </c>
      <c r="G69" s="25">
        <f>IF(B69=0,"-",(B69-D69)/B69)</f>
        <v/>
      </c>
      <c r="H69" s="25">
        <f>IF(OR(B69=0,B68=0),"-",(B69-B68)/B68)</f>
        <v/>
      </c>
    </row>
    <row r="70" ht="17" customHeight="1">
      <c r="A70" s="19" t="inlineStr">
        <is>
          <t>26-04-2026</t>
        </is>
      </c>
      <c r="B70" s="20" t="n">
        <v>680</v>
      </c>
      <c r="C70" s="21" t="n">
        <v>1260</v>
      </c>
      <c r="D70" s="20" t="n">
        <v>423</v>
      </c>
      <c r="E70" s="21" t="n">
        <v>228</v>
      </c>
      <c r="F70" s="22">
        <f>IF(B70=0,"-",B70-D70)</f>
        <v/>
      </c>
      <c r="G70" s="23">
        <f>IF(B70=0,"-",(B70-D70)/B70)</f>
        <v/>
      </c>
      <c r="H70" s="23">
        <f>IF(OR(B70=0,B69=0),"-",(B70-B69)/B69)</f>
        <v/>
      </c>
    </row>
    <row r="71" ht="17" customHeight="1">
      <c r="A71" s="19" t="inlineStr">
        <is>
          <t>27-04-2026</t>
        </is>
      </c>
      <c r="B71" s="20" t="n">
        <v>5492</v>
      </c>
      <c r="C71" s="21" t="n">
        <v>4410</v>
      </c>
      <c r="D71" s="20" t="n">
        <v>4102</v>
      </c>
      <c r="E71" s="21" t="n">
        <v>1257</v>
      </c>
      <c r="F71" s="24">
        <f>IF(B71=0,"-",B71-D71)</f>
        <v/>
      </c>
      <c r="G71" s="25">
        <f>IF(B71=0,"-",(B71-D71)/B71)</f>
        <v/>
      </c>
      <c r="H71" s="25">
        <f>IF(OR(B71=0,B70=0),"-",(B71-B70)/B70)</f>
        <v/>
      </c>
    </row>
    <row r="72" ht="17" customHeight="1">
      <c r="A72" s="19" t="inlineStr">
        <is>
          <t>28-04-2026</t>
        </is>
      </c>
      <c r="B72" s="20" t="n">
        <v>3830</v>
      </c>
      <c r="C72" s="21" t="n">
        <v>4410</v>
      </c>
      <c r="D72" s="20" t="n">
        <v>2955</v>
      </c>
      <c r="E72" s="21" t="n">
        <v>799</v>
      </c>
      <c r="F72" s="22">
        <f>IF(B72=0,"-",B72-D72)</f>
        <v/>
      </c>
      <c r="G72" s="23">
        <f>IF(B72=0,"-",(B72-D72)/B72)</f>
        <v/>
      </c>
      <c r="H72" s="23">
        <f>IF(OR(B72=0,B71=0),"-",(B72-B71)/B71)</f>
        <v/>
      </c>
    </row>
    <row r="73" ht="17" customHeight="1">
      <c r="A73" s="19" t="inlineStr">
        <is>
          <t>29-04-2026</t>
        </is>
      </c>
      <c r="B73" s="20" t="n">
        <v>5048</v>
      </c>
      <c r="C73" s="21" t="n">
        <v>4410</v>
      </c>
      <c r="D73" s="20" t="n">
        <v>3400</v>
      </c>
      <c r="E73" s="21" t="n">
        <v>1458</v>
      </c>
      <c r="F73" s="24">
        <f>IF(B73=0,"-",B73-D73)</f>
        <v/>
      </c>
      <c r="G73" s="25">
        <f>IF(B73=0,"-",(B73-D73)/B73)</f>
        <v/>
      </c>
      <c r="H73" s="25">
        <f>IF(OR(B73=0,B72=0),"-",(B73-B72)/B72)</f>
        <v/>
      </c>
    </row>
    <row r="74" ht="17" customHeight="1">
      <c r="A74" s="19" t="inlineStr">
        <is>
          <t>30-04-2026</t>
        </is>
      </c>
      <c r="B74" s="20" t="n">
        <v>5648</v>
      </c>
      <c r="C74" s="21" t="n">
        <v>4410</v>
      </c>
      <c r="D74" s="20" t="n">
        <v>4070</v>
      </c>
      <c r="E74" s="21" t="n">
        <v>1481</v>
      </c>
      <c r="F74" s="22">
        <f>IF(B74=0,"-",B74-D74)</f>
        <v/>
      </c>
      <c r="G74" s="23">
        <f>IF(B74=0,"-",(B74-D74)/B74)</f>
        <v/>
      </c>
      <c r="H74" s="23">
        <f>IF(OR(B74=0,B73=0),"-",(B74-B73)/B73)</f>
        <v/>
      </c>
    </row>
    <row r="75" ht="17" customHeight="1">
      <c r="A75" s="19" t="inlineStr">
        <is>
          <t>01-05-2026</t>
        </is>
      </c>
      <c r="B75" s="20" t="n">
        <v>4185</v>
      </c>
      <c r="C75" s="21" t="n">
        <v>4410</v>
      </c>
      <c r="D75" s="20" t="n">
        <v>2629</v>
      </c>
      <c r="E75" s="21" t="n">
        <v>1274</v>
      </c>
      <c r="F75" s="24">
        <f>IF(B75=0,"-",B75-D75)</f>
        <v/>
      </c>
      <c r="G75" s="25">
        <f>IF(B75=0,"-",(B75-D75)/B75)</f>
        <v/>
      </c>
      <c r="H75" s="25">
        <f>IF(OR(B75=0,B74=0),"-",(B75-B74)/B74)</f>
        <v/>
      </c>
    </row>
    <row r="76" ht="17" customHeight="1">
      <c r="A76" s="19" t="inlineStr">
        <is>
          <t>02-05-2026</t>
        </is>
      </c>
      <c r="B76" s="20" t="n">
        <v>745</v>
      </c>
      <c r="C76" s="21" t="n">
        <v>1260</v>
      </c>
      <c r="D76" s="20" t="n">
        <v>519</v>
      </c>
      <c r="E76" s="21" t="n">
        <v>154</v>
      </c>
      <c r="F76" s="22">
        <f>IF(B76=0,"-",B76-D76)</f>
        <v/>
      </c>
      <c r="G76" s="23">
        <f>IF(B76=0,"-",(B76-D76)/B76)</f>
        <v/>
      </c>
      <c r="H76" s="23">
        <f>IF(OR(B76=0,B75=0),"-",(B76-B75)/B75)</f>
        <v/>
      </c>
    </row>
    <row r="77" ht="17" customHeight="1">
      <c r="A77" s="19" t="inlineStr">
        <is>
          <t>03-05-2026</t>
        </is>
      </c>
      <c r="B77" s="20" t="n">
        <v>847</v>
      </c>
      <c r="C77" s="21" t="n">
        <v>1260</v>
      </c>
      <c r="D77" s="20" t="n">
        <v>593</v>
      </c>
      <c r="E77" s="21" t="n">
        <v>208</v>
      </c>
      <c r="F77" s="24">
        <f>IF(B77=0,"-",B77-D77)</f>
        <v/>
      </c>
      <c r="G77" s="25">
        <f>IF(B77=0,"-",(B77-D77)/B77)</f>
        <v/>
      </c>
      <c r="H77" s="25">
        <f>IF(OR(B77=0,B76=0),"-",(B77-B76)/B76)</f>
        <v/>
      </c>
    </row>
    <row r="78" ht="17" customHeight="1">
      <c r="A78" s="19" t="inlineStr">
        <is>
          <t>04-05-2026</t>
        </is>
      </c>
      <c r="B78" s="20" t="n">
        <v>3780</v>
      </c>
      <c r="C78" s="21" t="n">
        <v>4410</v>
      </c>
      <c r="D78" s="20" t="n">
        <v>2469</v>
      </c>
      <c r="E78" s="21" t="n">
        <v>958</v>
      </c>
      <c r="F78" s="22">
        <f>IF(B78=0,"-",B78-D78)</f>
        <v/>
      </c>
      <c r="G78" s="23">
        <f>IF(B78=0,"-",(B78-D78)/B78)</f>
        <v/>
      </c>
      <c r="H78" s="23">
        <f>IF(OR(B78=0,B77=0),"-",(B78-B77)/B77)</f>
        <v/>
      </c>
    </row>
    <row r="79" ht="17" customHeight="1">
      <c r="A79" s="19" t="inlineStr">
        <is>
          <t>05-05-2026</t>
        </is>
      </c>
      <c r="B79" s="20" t="n">
        <v>4784</v>
      </c>
      <c r="C79" s="21" t="n">
        <v>4410</v>
      </c>
      <c r="D79" s="20" t="n">
        <v>2958</v>
      </c>
      <c r="E79" s="21" t="n">
        <v>1331</v>
      </c>
      <c r="F79" s="24">
        <f>IF(B79=0,"-",B79-D79)</f>
        <v/>
      </c>
      <c r="G79" s="25">
        <f>IF(B79=0,"-",(B79-D79)/B79)</f>
        <v/>
      </c>
      <c r="H79" s="25">
        <f>IF(OR(B79=0,B78=0),"-",(B79-B78)/B78)</f>
        <v/>
      </c>
    </row>
    <row r="80" ht="17" customHeight="1">
      <c r="A80" s="19" t="inlineStr">
        <is>
          <t>06-05-2026</t>
        </is>
      </c>
      <c r="B80" s="20" t="n">
        <v>5957</v>
      </c>
      <c r="C80" s="21" t="n">
        <v>4410</v>
      </c>
      <c r="D80" s="20" t="n">
        <v>3758</v>
      </c>
      <c r="E80" s="21" t="n">
        <v>1881</v>
      </c>
      <c r="F80" s="22">
        <f>IF(B80=0,"-",B80-D80)</f>
        <v/>
      </c>
      <c r="G80" s="23">
        <f>IF(B80=0,"-",(B80-D80)/B80)</f>
        <v/>
      </c>
      <c r="H80" s="23">
        <f>IF(OR(B80=0,B79=0),"-",(B80-B79)/B79)</f>
        <v/>
      </c>
    </row>
    <row r="81" ht="17" customHeight="1">
      <c r="A81" s="19" t="inlineStr">
        <is>
          <t>07-05-2026</t>
        </is>
      </c>
      <c r="B81" s="20" t="n">
        <v>5382</v>
      </c>
      <c r="C81" s="21" t="n">
        <v>4410</v>
      </c>
      <c r="D81" s="20" t="n">
        <v>3929</v>
      </c>
      <c r="E81" s="21" t="n">
        <v>1025</v>
      </c>
      <c r="F81" s="24">
        <f>IF(B81=0,"-",B81-D81)</f>
        <v/>
      </c>
      <c r="G81" s="25">
        <f>IF(B81=0,"-",(B81-D81)/B81)</f>
        <v/>
      </c>
      <c r="H81" s="25">
        <f>IF(OR(B81=0,B80=0),"-",(B81-B80)/B80)</f>
        <v/>
      </c>
    </row>
    <row r="82" ht="17" customHeight="1">
      <c r="A82" s="19" t="inlineStr">
        <is>
          <t>08-05-2026</t>
        </is>
      </c>
      <c r="B82" s="20" t="n">
        <v>5002</v>
      </c>
      <c r="C82" s="21" t="n">
        <v>4410</v>
      </c>
      <c r="D82" s="20" t="n">
        <v>3457</v>
      </c>
      <c r="E82" s="21" t="n">
        <v>1133</v>
      </c>
      <c r="F82" s="22">
        <f>IF(B82=0,"-",B82-D82)</f>
        <v/>
      </c>
      <c r="G82" s="23">
        <f>IF(B82=0,"-",(B82-D82)/B82)</f>
        <v/>
      </c>
      <c r="H82" s="23">
        <f>IF(OR(B82=0,B81=0),"-",(B82-B81)/B81)</f>
        <v/>
      </c>
    </row>
    <row r="83" ht="17" customHeight="1">
      <c r="A83" s="19" t="inlineStr">
        <is>
          <t>09-05-2026</t>
        </is>
      </c>
      <c r="B83" s="20" t="n">
        <v>934</v>
      </c>
      <c r="C83" s="21" t="n">
        <v>1260</v>
      </c>
      <c r="D83" s="20" t="n">
        <v>609</v>
      </c>
      <c r="E83" s="21" t="n">
        <v>242</v>
      </c>
      <c r="F83" s="24">
        <f>IF(B83=0,"-",B83-D83)</f>
        <v/>
      </c>
      <c r="G83" s="25">
        <f>IF(B83=0,"-",(B83-D83)/B83)</f>
        <v/>
      </c>
      <c r="H83" s="25">
        <f>IF(OR(B83=0,B82=0),"-",(B83-B82)/B82)</f>
        <v/>
      </c>
    </row>
    <row r="84" ht="17" customHeight="1">
      <c r="A84" s="19" t="inlineStr">
        <is>
          <t>10-05-2026</t>
        </is>
      </c>
      <c r="B84" s="20" t="n">
        <v>522</v>
      </c>
      <c r="C84" s="21" t="n">
        <v>1260</v>
      </c>
      <c r="D84" s="20" t="n">
        <v>319</v>
      </c>
      <c r="E84" s="21" t="n">
        <v>157</v>
      </c>
      <c r="F84" s="22">
        <f>IF(B84=0,"-",B84-D84)</f>
        <v/>
      </c>
      <c r="G84" s="23">
        <f>IF(B84=0,"-",(B84-D84)/B84)</f>
        <v/>
      </c>
      <c r="H84" s="23">
        <f>IF(OR(B84=0,B83=0),"-",(B84-B83)/B83)</f>
        <v/>
      </c>
    </row>
    <row r="85" ht="17" customHeight="1">
      <c r="A85" s="19" t="inlineStr">
        <is>
          <t>11-05-2026</t>
        </is>
      </c>
      <c r="B85" s="20" t="n">
        <v>5790</v>
      </c>
      <c r="C85" s="21" t="n">
        <v>4410</v>
      </c>
      <c r="D85" s="20" t="n">
        <v>4284</v>
      </c>
      <c r="E85" s="21" t="n">
        <v>1166</v>
      </c>
      <c r="F85" s="24">
        <f>IF(B85=0,"-",B85-D85)</f>
        <v/>
      </c>
      <c r="G85" s="25">
        <f>IF(B85=0,"-",(B85-D85)/B85)</f>
        <v/>
      </c>
      <c r="H85" s="25">
        <f>IF(OR(B85=0,B84=0),"-",(B85-B84)/B84)</f>
        <v/>
      </c>
    </row>
    <row r="86" ht="17" customHeight="1">
      <c r="A86" s="19" t="inlineStr">
        <is>
          <t>12-05-2026</t>
        </is>
      </c>
      <c r="B86" s="20" t="n">
        <v>3195</v>
      </c>
      <c r="C86" s="21" t="n">
        <v>4410</v>
      </c>
      <c r="D86" s="20" t="n">
        <v>1972</v>
      </c>
      <c r="E86" s="21" t="n">
        <v>803</v>
      </c>
      <c r="F86" s="22">
        <f>IF(B86=0,"-",B86-D86)</f>
        <v/>
      </c>
      <c r="G86" s="23">
        <f>IF(B86=0,"-",(B86-D86)/B86)</f>
        <v/>
      </c>
      <c r="H86" s="23">
        <f>IF(OR(B86=0,B85=0),"-",(B86-B85)/B85)</f>
        <v/>
      </c>
    </row>
    <row r="87" ht="17" customHeight="1">
      <c r="A87" s="19" t="inlineStr">
        <is>
          <t>13-05-2026</t>
        </is>
      </c>
      <c r="B87" s="20" t="n">
        <v>3512</v>
      </c>
      <c r="C87" s="21" t="n">
        <v>4410</v>
      </c>
      <c r="D87" s="20" t="n">
        <v>2541</v>
      </c>
      <c r="E87" s="21" t="n">
        <v>799</v>
      </c>
      <c r="F87" s="24">
        <f>IF(B87=0,"-",B87-D87)</f>
        <v/>
      </c>
      <c r="G87" s="25">
        <f>IF(B87=0,"-",(B87-D87)/B87)</f>
        <v/>
      </c>
      <c r="H87" s="25">
        <f>IF(OR(B87=0,B86=0),"-",(B87-B86)/B86)</f>
        <v/>
      </c>
    </row>
    <row r="88" ht="17" customHeight="1">
      <c r="A88" s="19" t="inlineStr">
        <is>
          <t>14-05-2026</t>
        </is>
      </c>
      <c r="B88" s="20" t="n">
        <v>5902</v>
      </c>
      <c r="C88" s="21" t="n">
        <v>4410</v>
      </c>
      <c r="D88" s="20" t="n">
        <v>3913</v>
      </c>
      <c r="E88" s="21" t="n">
        <v>1758</v>
      </c>
      <c r="F88" s="22">
        <f>IF(B88=0,"-",B88-D88)</f>
        <v/>
      </c>
      <c r="G88" s="23">
        <f>IF(B88=0,"-",(B88-D88)/B88)</f>
        <v/>
      </c>
      <c r="H88" s="23">
        <f>IF(OR(B88=0,B87=0),"-",(B88-B87)/B87)</f>
        <v/>
      </c>
    </row>
    <row r="89" ht="17" customHeight="1">
      <c r="A89" s="19" t="inlineStr">
        <is>
          <t>15-05-2026</t>
        </is>
      </c>
      <c r="B89" s="20" t="n">
        <v>4935</v>
      </c>
      <c r="C89" s="21" t="n">
        <v>4410</v>
      </c>
      <c r="D89" s="20" t="n">
        <v>3543</v>
      </c>
      <c r="E89" s="21" t="n">
        <v>1162</v>
      </c>
      <c r="F89" s="24">
        <f>IF(B89=0,"-",B89-D89)</f>
        <v/>
      </c>
      <c r="G89" s="25">
        <f>IF(B89=0,"-",(B89-D89)/B89)</f>
        <v/>
      </c>
      <c r="H89" s="25">
        <f>IF(OR(B89=0,B88=0),"-",(B89-B88)/B88)</f>
        <v/>
      </c>
    </row>
    <row r="90" ht="17" customHeight="1">
      <c r="A90" s="19" t="inlineStr">
        <is>
          <t>16-05-2026</t>
        </is>
      </c>
      <c r="B90" s="20" t="n">
        <v>996</v>
      </c>
      <c r="C90" s="21" t="n">
        <v>1260</v>
      </c>
      <c r="D90" s="20" t="n">
        <v>654</v>
      </c>
      <c r="E90" s="21" t="n">
        <v>244</v>
      </c>
      <c r="F90" s="22">
        <f>IF(B90=0,"-",B90-D90)</f>
        <v/>
      </c>
      <c r="G90" s="23">
        <f>IF(B90=0,"-",(B90-D90)/B90)</f>
        <v/>
      </c>
      <c r="H90" s="23">
        <f>IF(OR(B90=0,B89=0),"-",(B90-B89)/B89)</f>
        <v/>
      </c>
    </row>
    <row r="91" ht="17" customHeight="1">
      <c r="A91" s="19" t="inlineStr">
        <is>
          <t>17-05-2026</t>
        </is>
      </c>
      <c r="B91" s="20" t="n">
        <v>666</v>
      </c>
      <c r="C91" s="21" t="n">
        <v>1260</v>
      </c>
      <c r="D91" s="20" t="n">
        <v>517</v>
      </c>
      <c r="E91" s="21" t="n">
        <v>136</v>
      </c>
      <c r="F91" s="24">
        <f>IF(B91=0,"-",B91-D91)</f>
        <v/>
      </c>
      <c r="G91" s="25">
        <f>IF(B91=0,"-",(B91-D91)/B91)</f>
        <v/>
      </c>
      <c r="H91" s="25">
        <f>IF(OR(B91=0,B90=0),"-",(B91-B90)/B90)</f>
        <v/>
      </c>
    </row>
    <row r="92" ht="17" customHeight="1">
      <c r="A92" s="26" t="n"/>
      <c r="B92" s="27" t="n"/>
      <c r="C92" s="28" t="n"/>
      <c r="D92" s="27" t="n"/>
      <c r="E92" s="28" t="n"/>
      <c r="F92" s="29">
        <f>IF(B92=0,"-",B92-D92)</f>
        <v/>
      </c>
      <c r="G92" s="30">
        <f>IF(B92=0,"-",(B92-D92)/B92)</f>
        <v/>
      </c>
      <c r="H92" s="30">
        <f>IF(OR(B92=0,B91=0),"-",(B92-B91)/B91)</f>
        <v/>
      </c>
    </row>
    <row r="93" ht="17" customHeight="1">
      <c r="A93" s="26" t="n"/>
      <c r="B93" s="27" t="n"/>
      <c r="C93" s="28" t="n"/>
      <c r="D93" s="27" t="n"/>
      <c r="E93" s="28" t="n"/>
      <c r="F93" s="31">
        <f>IF(B93=0,"-",B93-D93)</f>
        <v/>
      </c>
      <c r="G93" s="32">
        <f>IF(B93=0,"-",(B93-D93)/B93)</f>
        <v/>
      </c>
      <c r="H93" s="32">
        <f>IF(OR(B93=0,B92=0),"-",(B93-B92)/B92)</f>
        <v/>
      </c>
    </row>
    <row r="94" ht="17" customHeight="1">
      <c r="A94" s="26" t="n"/>
      <c r="B94" s="27" t="n"/>
      <c r="C94" s="28" t="n"/>
      <c r="D94" s="27" t="n"/>
      <c r="E94" s="28" t="n"/>
      <c r="F94" s="29">
        <f>IF(B94=0,"-",B94-D94)</f>
        <v/>
      </c>
      <c r="G94" s="30">
        <f>IF(B94=0,"-",(B94-D94)/B94)</f>
        <v/>
      </c>
      <c r="H94" s="30">
        <f>IF(OR(B94=0,B93=0),"-",(B94-B93)/B93)</f>
        <v/>
      </c>
    </row>
    <row r="95" ht="17" customHeight="1">
      <c r="A95" s="26" t="n"/>
      <c r="B95" s="27" t="n"/>
      <c r="C95" s="28" t="n"/>
      <c r="D95" s="27" t="n"/>
      <c r="E95" s="28" t="n"/>
      <c r="F95" s="31">
        <f>IF(B95=0,"-",B95-D95)</f>
        <v/>
      </c>
      <c r="G95" s="32">
        <f>IF(B95=0,"-",(B95-D95)/B95)</f>
        <v/>
      </c>
      <c r="H95" s="32">
        <f>IF(OR(B95=0,B94=0),"-",(B95-B94)/B94)</f>
        <v/>
      </c>
    </row>
    <row r="96" ht="17" customHeight="1">
      <c r="A96" s="26" t="n"/>
      <c r="B96" s="27" t="n"/>
      <c r="C96" s="28" t="n"/>
      <c r="D96" s="27" t="n"/>
      <c r="E96" s="28" t="n"/>
      <c r="F96" s="29">
        <f>IF(B96=0,"-",B96-D96)</f>
        <v/>
      </c>
      <c r="G96" s="30">
        <f>IF(B96=0,"-",(B96-D96)/B96)</f>
        <v/>
      </c>
      <c r="H96" s="30">
        <f>IF(OR(B96=0,B95=0),"-",(B96-B95)/B95)</f>
        <v/>
      </c>
    </row>
    <row r="97" ht="17" customHeight="1">
      <c r="A97" s="26" t="n"/>
      <c r="B97" s="27" t="n"/>
      <c r="C97" s="28" t="n"/>
      <c r="D97" s="27" t="n"/>
      <c r="E97" s="28" t="n"/>
      <c r="F97" s="31">
        <f>IF(B97=0,"-",B97-D97)</f>
        <v/>
      </c>
      <c r="G97" s="32">
        <f>IF(B97=0,"-",(B97-D97)/B97)</f>
        <v/>
      </c>
      <c r="H97" s="32">
        <f>IF(OR(B97=0,B96=0),"-",(B97-B96)/B96)</f>
        <v/>
      </c>
    </row>
    <row r="98" ht="17" customHeight="1">
      <c r="A98" s="26" t="n"/>
      <c r="B98" s="27" t="n"/>
      <c r="C98" s="28" t="n"/>
      <c r="D98" s="27" t="n"/>
      <c r="E98" s="28" t="n"/>
      <c r="F98" s="29">
        <f>IF(B98=0,"-",B98-D98)</f>
        <v/>
      </c>
      <c r="G98" s="30">
        <f>IF(B98=0,"-",(B98-D98)/B98)</f>
        <v/>
      </c>
      <c r="H98" s="30">
        <f>IF(OR(B98=0,B97=0),"-",(B98-B97)/B97)</f>
        <v/>
      </c>
    </row>
    <row r="99" ht="17" customHeight="1">
      <c r="A99" s="26" t="n"/>
      <c r="B99" s="27" t="n"/>
      <c r="C99" s="28" t="n"/>
      <c r="D99" s="27" t="n"/>
      <c r="E99" s="28" t="n"/>
      <c r="F99" s="31">
        <f>IF(B99=0,"-",B99-D99)</f>
        <v/>
      </c>
      <c r="G99" s="32">
        <f>IF(B99=0,"-",(B99-D99)/B99)</f>
        <v/>
      </c>
      <c r="H99" s="32">
        <f>IF(OR(B99=0,B98=0),"-",(B99-B98)/B98)</f>
        <v/>
      </c>
    </row>
    <row r="100" ht="17" customHeight="1">
      <c r="A100" s="26" t="n"/>
      <c r="B100" s="27" t="n"/>
      <c r="C100" s="28" t="n"/>
      <c r="D100" s="27" t="n"/>
      <c r="E100" s="28" t="n"/>
      <c r="F100" s="29">
        <f>IF(B100=0,"-",B100-D100)</f>
        <v/>
      </c>
      <c r="G100" s="30">
        <f>IF(B100=0,"-",(B100-D100)/B100)</f>
        <v/>
      </c>
      <c r="H100" s="30">
        <f>IF(OR(B100=0,B99=0),"-",(B100-B99)/B99)</f>
        <v/>
      </c>
    </row>
    <row r="101" ht="17" customHeight="1">
      <c r="A101" s="26" t="n"/>
      <c r="B101" s="27" t="n"/>
      <c r="C101" s="28" t="n"/>
      <c r="D101" s="27" t="n"/>
      <c r="E101" s="28" t="n"/>
      <c r="F101" s="31">
        <f>IF(B101=0,"-",B101-D101)</f>
        <v/>
      </c>
      <c r="G101" s="32">
        <f>IF(B101=0,"-",(B101-D101)/B101)</f>
        <v/>
      </c>
      <c r="H101" s="32">
        <f>IF(OR(B101=0,B100=0),"-",(B101-B100)/B100)</f>
        <v/>
      </c>
    </row>
    <row r="102" ht="17" customHeight="1">
      <c r="A102" s="26" t="n"/>
      <c r="B102" s="27" t="n"/>
      <c r="C102" s="28" t="n"/>
      <c r="D102" s="27" t="n"/>
      <c r="E102" s="28" t="n"/>
      <c r="F102" s="29">
        <f>IF(B102=0,"-",B102-D102)</f>
        <v/>
      </c>
      <c r="G102" s="30">
        <f>IF(B102=0,"-",(B102-D102)/B102)</f>
        <v/>
      </c>
      <c r="H102" s="30">
        <f>IF(OR(B102=0,B101=0),"-",(B102-B101)/B101)</f>
        <v/>
      </c>
    </row>
    <row r="103" ht="17" customHeight="1">
      <c r="A103" s="26" t="n"/>
      <c r="B103" s="27" t="n"/>
      <c r="C103" s="28" t="n"/>
      <c r="D103" s="27" t="n"/>
      <c r="E103" s="28" t="n"/>
      <c r="F103" s="31">
        <f>IF(B103=0,"-",B103-D103)</f>
        <v/>
      </c>
      <c r="G103" s="32">
        <f>IF(B103=0,"-",(B103-D103)/B103)</f>
        <v/>
      </c>
      <c r="H103" s="32">
        <f>IF(OR(B103=0,B102=0),"-",(B103-B102)/B102)</f>
        <v/>
      </c>
    </row>
    <row r="104" ht="17" customHeight="1">
      <c r="A104" s="26" t="n"/>
      <c r="B104" s="27" t="n"/>
      <c r="C104" s="28" t="n"/>
      <c r="D104" s="27" t="n"/>
      <c r="E104" s="28" t="n"/>
      <c r="F104" s="29">
        <f>IF(B104=0,"-",B104-D104)</f>
        <v/>
      </c>
      <c r="G104" s="30">
        <f>IF(B104=0,"-",(B104-D104)/B104)</f>
        <v/>
      </c>
      <c r="H104" s="30">
        <f>IF(OR(B104=0,B103=0),"-",(B104-B103)/B103)</f>
        <v/>
      </c>
    </row>
    <row r="105" ht="17" customHeight="1">
      <c r="A105" s="26" t="n"/>
      <c r="B105" s="27" t="n"/>
      <c r="C105" s="28" t="n"/>
      <c r="D105" s="27" t="n"/>
      <c r="E105" s="28" t="n"/>
      <c r="F105" s="31">
        <f>IF(B105=0,"-",B105-D105)</f>
        <v/>
      </c>
      <c r="G105" s="32">
        <f>IF(B105=0,"-",(B105-D105)/B105)</f>
        <v/>
      </c>
      <c r="H105" s="32">
        <f>IF(OR(B105=0,B104=0),"-",(B105-B104)/B104)</f>
        <v/>
      </c>
    </row>
    <row r="106" ht="17" customHeight="1">
      <c r="A106" s="26" t="n"/>
      <c r="B106" s="27" t="n"/>
      <c r="C106" s="28" t="n"/>
      <c r="D106" s="27" t="n"/>
      <c r="E106" s="28" t="n"/>
      <c r="F106" s="29">
        <f>IF(B106=0,"-",B106-D106)</f>
        <v/>
      </c>
      <c r="G106" s="30">
        <f>IF(B106=0,"-",(B106-D106)/B106)</f>
        <v/>
      </c>
      <c r="H106" s="30">
        <f>IF(OR(B106=0,B105=0),"-",(B106-B105)/B105)</f>
        <v/>
      </c>
    </row>
    <row r="107" ht="17" customHeight="1">
      <c r="A107" s="26" t="n"/>
      <c r="B107" s="27" t="n"/>
      <c r="C107" s="28" t="n"/>
      <c r="D107" s="27" t="n"/>
      <c r="E107" s="28" t="n"/>
      <c r="F107" s="31">
        <f>IF(B107=0,"-",B107-D107)</f>
        <v/>
      </c>
      <c r="G107" s="32">
        <f>IF(B107=0,"-",(B107-D107)/B107)</f>
        <v/>
      </c>
      <c r="H107" s="32">
        <f>IF(OR(B107=0,B106=0),"-",(B107-B106)/B106)</f>
        <v/>
      </c>
    </row>
    <row r="108" ht="17" customHeight="1">
      <c r="A108" s="26" t="n"/>
      <c r="B108" s="27" t="n"/>
      <c r="C108" s="28" t="n"/>
      <c r="D108" s="27" t="n"/>
      <c r="E108" s="28" t="n"/>
      <c r="F108" s="29">
        <f>IF(B108=0,"-",B108-D108)</f>
        <v/>
      </c>
      <c r="G108" s="30">
        <f>IF(B108=0,"-",(B108-D108)/B108)</f>
        <v/>
      </c>
      <c r="H108" s="30">
        <f>IF(OR(B108=0,B107=0),"-",(B108-B107)/B107)</f>
        <v/>
      </c>
    </row>
    <row r="109" ht="17" customHeight="1">
      <c r="A109" s="26" t="n"/>
      <c r="B109" s="27" t="n"/>
      <c r="C109" s="28" t="n"/>
      <c r="D109" s="27" t="n"/>
      <c r="E109" s="28" t="n"/>
      <c r="F109" s="31">
        <f>IF(B109=0,"-",B109-D109)</f>
        <v/>
      </c>
      <c r="G109" s="32">
        <f>IF(B109=0,"-",(B109-D109)/B109)</f>
        <v/>
      </c>
      <c r="H109" s="32">
        <f>IF(OR(B109=0,B108=0),"-",(B109-B108)/B108)</f>
        <v/>
      </c>
    </row>
    <row r="110" ht="17" customHeight="1">
      <c r="A110" s="26" t="n"/>
      <c r="B110" s="27" t="n"/>
      <c r="C110" s="28" t="n"/>
      <c r="D110" s="27" t="n"/>
      <c r="E110" s="28" t="n"/>
      <c r="F110" s="29">
        <f>IF(B110=0,"-",B110-D110)</f>
        <v/>
      </c>
      <c r="G110" s="30">
        <f>IF(B110=0,"-",(B110-D110)/B110)</f>
        <v/>
      </c>
      <c r="H110" s="30">
        <f>IF(OR(B110=0,B109=0),"-",(B110-B109)/B109)</f>
        <v/>
      </c>
    </row>
    <row r="111" ht="17" customHeight="1">
      <c r="A111" s="26" t="n"/>
      <c r="B111" s="27" t="n"/>
      <c r="C111" s="28" t="n"/>
      <c r="D111" s="27" t="n"/>
      <c r="E111" s="28" t="n"/>
      <c r="F111" s="31">
        <f>IF(B111=0,"-",B111-D111)</f>
        <v/>
      </c>
      <c r="G111" s="32">
        <f>IF(B111=0,"-",(B111-D111)/B111)</f>
        <v/>
      </c>
      <c r="H111" s="32">
        <f>IF(OR(B111=0,B110=0),"-",(B111-B110)/B110)</f>
        <v/>
      </c>
    </row>
    <row r="112" ht="17" customHeight="1">
      <c r="A112" s="26" t="n"/>
      <c r="B112" s="27" t="n"/>
      <c r="C112" s="28" t="n"/>
      <c r="D112" s="27" t="n"/>
      <c r="E112" s="28" t="n"/>
      <c r="F112" s="29">
        <f>IF(B112=0,"-",B112-D112)</f>
        <v/>
      </c>
      <c r="G112" s="30">
        <f>IF(B112=0,"-",(B112-D112)/B112)</f>
        <v/>
      </c>
      <c r="H112" s="30">
        <f>IF(OR(B112=0,B111=0),"-",(B112-B111)/B111)</f>
        <v/>
      </c>
    </row>
    <row r="113" ht="17" customHeight="1">
      <c r="A113" s="26" t="n"/>
      <c r="B113" s="27" t="n"/>
      <c r="C113" s="28" t="n"/>
      <c r="D113" s="27" t="n"/>
      <c r="E113" s="28" t="n"/>
      <c r="F113" s="31">
        <f>IF(B113=0,"-",B113-D113)</f>
        <v/>
      </c>
      <c r="G113" s="32">
        <f>IF(B113=0,"-",(B113-D113)/B113)</f>
        <v/>
      </c>
      <c r="H113" s="32">
        <f>IF(OR(B113=0,B112=0),"-",(B113-B112)/B112)</f>
        <v/>
      </c>
    </row>
    <row r="114" ht="17" customHeight="1">
      <c r="A114" s="26" t="n"/>
      <c r="B114" s="27" t="n"/>
      <c r="C114" s="28" t="n"/>
      <c r="D114" s="27" t="n"/>
      <c r="E114" s="28" t="n"/>
      <c r="F114" s="29">
        <f>IF(B114=0,"-",B114-D114)</f>
        <v/>
      </c>
      <c r="G114" s="30">
        <f>IF(B114=0,"-",(B114-D114)/B114)</f>
        <v/>
      </c>
      <c r="H114" s="30">
        <f>IF(OR(B114=0,B113=0),"-",(B114-B113)/B113)</f>
        <v/>
      </c>
    </row>
    <row r="115" ht="17" customHeight="1">
      <c r="A115" s="26" t="n"/>
      <c r="B115" s="27" t="n"/>
      <c r="C115" s="28" t="n"/>
      <c r="D115" s="27" t="n"/>
      <c r="E115" s="28" t="n"/>
      <c r="F115" s="31">
        <f>IF(B115=0,"-",B115-D115)</f>
        <v/>
      </c>
      <c r="G115" s="32">
        <f>IF(B115=0,"-",(B115-D115)/B115)</f>
        <v/>
      </c>
      <c r="H115" s="32">
        <f>IF(OR(B115=0,B114=0),"-",(B115-B114)/B114)</f>
        <v/>
      </c>
    </row>
    <row r="116" ht="17" customHeight="1">
      <c r="A116" s="26" t="n"/>
      <c r="B116" s="27" t="n"/>
      <c r="C116" s="28" t="n"/>
      <c r="D116" s="27" t="n"/>
      <c r="E116" s="28" t="n"/>
      <c r="F116" s="29">
        <f>IF(B116=0,"-",B116-D116)</f>
        <v/>
      </c>
      <c r="G116" s="30">
        <f>IF(B116=0,"-",(B116-D116)/B116)</f>
        <v/>
      </c>
      <c r="H116" s="30">
        <f>IF(OR(B116=0,B115=0),"-",(B116-B115)/B115)</f>
        <v/>
      </c>
    </row>
    <row r="117" ht="17" customHeight="1">
      <c r="A117" s="26" t="n"/>
      <c r="B117" s="27" t="n"/>
      <c r="C117" s="28" t="n"/>
      <c r="D117" s="27" t="n"/>
      <c r="E117" s="28" t="n"/>
      <c r="F117" s="31">
        <f>IF(B117=0,"-",B117-D117)</f>
        <v/>
      </c>
      <c r="G117" s="32">
        <f>IF(B117=0,"-",(B117-D117)/B117)</f>
        <v/>
      </c>
      <c r="H117" s="32">
        <f>IF(OR(B117=0,B116=0),"-",(B117-B116)/B116)</f>
        <v/>
      </c>
    </row>
    <row r="118" ht="17" customHeight="1">
      <c r="A118" s="26" t="n"/>
      <c r="B118" s="27" t="n"/>
      <c r="C118" s="28" t="n"/>
      <c r="D118" s="27" t="n"/>
      <c r="E118" s="28" t="n"/>
      <c r="F118" s="29">
        <f>IF(B118=0,"-",B118-D118)</f>
        <v/>
      </c>
      <c r="G118" s="30">
        <f>IF(B118=0,"-",(B118-D118)/B118)</f>
        <v/>
      </c>
      <c r="H118" s="30">
        <f>IF(OR(B118=0,B117=0),"-",(B118-B117)/B117)</f>
        <v/>
      </c>
    </row>
    <row r="119" ht="17" customHeight="1">
      <c r="A119" s="26" t="n"/>
      <c r="B119" s="27" t="n"/>
      <c r="C119" s="28" t="n"/>
      <c r="D119" s="27" t="n"/>
      <c r="E119" s="28" t="n"/>
      <c r="F119" s="31">
        <f>IF(B119=0,"-",B119-D119)</f>
        <v/>
      </c>
      <c r="G119" s="32">
        <f>IF(B119=0,"-",(B119-D119)/B119)</f>
        <v/>
      </c>
      <c r="H119" s="32">
        <f>IF(OR(B119=0,B118=0),"-",(B119-B118)/B118)</f>
        <v/>
      </c>
    </row>
    <row r="120" ht="17" customHeight="1">
      <c r="A120" s="26" t="n"/>
      <c r="B120" s="27" t="n"/>
      <c r="C120" s="28" t="n"/>
      <c r="D120" s="27" t="n"/>
      <c r="E120" s="28" t="n"/>
      <c r="F120" s="29">
        <f>IF(B120=0,"-",B120-D120)</f>
        <v/>
      </c>
      <c r="G120" s="30">
        <f>IF(B120=0,"-",(B120-D120)/B120)</f>
        <v/>
      </c>
      <c r="H120" s="30">
        <f>IF(OR(B120=0,B119=0),"-",(B120-B119)/B119)</f>
        <v/>
      </c>
    </row>
    <row r="121" ht="17" customHeight="1">
      <c r="A121" s="26" t="n"/>
      <c r="B121" s="27" t="n"/>
      <c r="C121" s="28" t="n"/>
      <c r="D121" s="27" t="n"/>
      <c r="E121" s="28" t="n"/>
      <c r="F121" s="31">
        <f>IF(B121=0,"-",B121-D121)</f>
        <v/>
      </c>
      <c r="G121" s="32">
        <f>IF(B121=0,"-",(B121-D121)/B121)</f>
        <v/>
      </c>
      <c r="H121" s="32">
        <f>IF(OR(B121=0,B120=0),"-",(B121-B120)/B120)</f>
        <v/>
      </c>
    </row>
    <row r="122" ht="17" customHeight="1">
      <c r="A122" s="26" t="n"/>
      <c r="B122" s="27" t="n"/>
      <c r="C122" s="28" t="n"/>
      <c r="D122" s="27" t="n"/>
      <c r="E122" s="28" t="n"/>
      <c r="F122" s="29">
        <f>IF(B122=0,"-",B122-D122)</f>
        <v/>
      </c>
      <c r="G122" s="30">
        <f>IF(B122=0,"-",(B122-D122)/B122)</f>
        <v/>
      </c>
      <c r="H122" s="30">
        <f>IF(OR(B122=0,B121=0),"-",(B122-B121)/B121)</f>
        <v/>
      </c>
    </row>
    <row r="123" ht="17" customHeight="1">
      <c r="A123" s="26" t="n"/>
      <c r="B123" s="27" t="n"/>
      <c r="C123" s="28" t="n"/>
      <c r="D123" s="27" t="n"/>
      <c r="E123" s="28" t="n"/>
      <c r="F123" s="31">
        <f>IF(B123=0,"-",B123-D123)</f>
        <v/>
      </c>
      <c r="G123" s="32">
        <f>IF(B123=0,"-",(B123-D123)/B123)</f>
        <v/>
      </c>
      <c r="H123" s="32">
        <f>IF(OR(B123=0,B122=0),"-",(B123-B122)/B122)</f>
        <v/>
      </c>
    </row>
    <row r="124" ht="17" customHeight="1">
      <c r="A124" s="26" t="n"/>
      <c r="B124" s="27" t="n"/>
      <c r="C124" s="28" t="n"/>
      <c r="D124" s="27" t="n"/>
      <c r="E124" s="28" t="n"/>
      <c r="F124" s="29">
        <f>IF(B124=0,"-",B124-D124)</f>
        <v/>
      </c>
      <c r="G124" s="30">
        <f>IF(B124=0,"-",(B124-D124)/B124)</f>
        <v/>
      </c>
      <c r="H124" s="30">
        <f>IF(OR(B124=0,B123=0),"-",(B124-B123)/B123)</f>
        <v/>
      </c>
    </row>
    <row r="125" ht="17" customHeight="1">
      <c r="A125" s="26" t="n"/>
      <c r="B125" s="27" t="n"/>
      <c r="C125" s="28" t="n"/>
      <c r="D125" s="27" t="n"/>
      <c r="E125" s="28" t="n"/>
      <c r="F125" s="31">
        <f>IF(B125=0,"-",B125-D125)</f>
        <v/>
      </c>
      <c r="G125" s="32">
        <f>IF(B125=0,"-",(B125-D125)/B125)</f>
        <v/>
      </c>
      <c r="H125" s="32">
        <f>IF(OR(B125=0,B124=0),"-",(B125-B124)/B124)</f>
        <v/>
      </c>
    </row>
    <row r="126" ht="17" customHeight="1">
      <c r="A126" s="26" t="n"/>
      <c r="B126" s="27" t="n"/>
      <c r="C126" s="28" t="n"/>
      <c r="D126" s="27" t="n"/>
      <c r="E126" s="28" t="n"/>
      <c r="F126" s="29">
        <f>IF(B126=0,"-",B126-D126)</f>
        <v/>
      </c>
      <c r="G126" s="30">
        <f>IF(B126=0,"-",(B126-D126)/B126)</f>
        <v/>
      </c>
      <c r="H126" s="30">
        <f>IF(OR(B126=0,B125=0),"-",(B126-B125)/B125)</f>
        <v/>
      </c>
    </row>
    <row r="127" ht="17" customHeight="1">
      <c r="A127" s="26" t="n"/>
      <c r="B127" s="27" t="n"/>
      <c r="C127" s="28" t="n"/>
      <c r="D127" s="27" t="n"/>
      <c r="E127" s="28" t="n"/>
      <c r="F127" s="31">
        <f>IF(B127=0,"-",B127-D127)</f>
        <v/>
      </c>
      <c r="G127" s="32">
        <f>IF(B127=0,"-",(B127-D127)/B127)</f>
        <v/>
      </c>
      <c r="H127" s="32">
        <f>IF(OR(B127=0,B126=0),"-",(B127-B126)/B126)</f>
        <v/>
      </c>
    </row>
    <row r="128" ht="17" customHeight="1">
      <c r="A128" s="26" t="n"/>
      <c r="B128" s="27" t="n"/>
      <c r="C128" s="28" t="n"/>
      <c r="D128" s="27" t="n"/>
      <c r="E128" s="28" t="n"/>
      <c r="F128" s="29">
        <f>IF(B128=0,"-",B128-D128)</f>
        <v/>
      </c>
      <c r="G128" s="30">
        <f>IF(B128=0,"-",(B128-D128)/B128)</f>
        <v/>
      </c>
      <c r="H128" s="30">
        <f>IF(OR(B128=0,B127=0),"-",(B128-B127)/B127)</f>
        <v/>
      </c>
    </row>
    <row r="129" ht="17" customHeight="1">
      <c r="A129" s="26" t="n"/>
      <c r="B129" s="27" t="n"/>
      <c r="C129" s="28" t="n"/>
      <c r="D129" s="27" t="n"/>
      <c r="E129" s="28" t="n"/>
      <c r="F129" s="31">
        <f>IF(B129=0,"-",B129-D129)</f>
        <v/>
      </c>
      <c r="G129" s="32">
        <f>IF(B129=0,"-",(B129-D129)/B129)</f>
        <v/>
      </c>
      <c r="H129" s="32">
        <f>IF(OR(B129=0,B128=0),"-",(B129-B128)/B128)</f>
        <v/>
      </c>
    </row>
    <row r="130" ht="17" customHeight="1">
      <c r="A130" s="26" t="n"/>
      <c r="B130" s="27" t="n"/>
      <c r="C130" s="28" t="n"/>
      <c r="D130" s="27" t="n"/>
      <c r="E130" s="28" t="n"/>
      <c r="F130" s="29">
        <f>IF(B130=0,"-",B130-D130)</f>
        <v/>
      </c>
      <c r="G130" s="30">
        <f>IF(B130=0,"-",(B130-D130)/B130)</f>
        <v/>
      </c>
      <c r="H130" s="30">
        <f>IF(OR(B130=0,B129=0),"-",(B130-B129)/B129)</f>
        <v/>
      </c>
    </row>
    <row r="131" ht="17" customHeight="1">
      <c r="A131" s="26" t="n"/>
      <c r="B131" s="27" t="n"/>
      <c r="C131" s="28" t="n"/>
      <c r="D131" s="27" t="n"/>
      <c r="E131" s="28" t="n"/>
      <c r="F131" s="31">
        <f>IF(B131=0,"-",B131-D131)</f>
        <v/>
      </c>
      <c r="G131" s="32">
        <f>IF(B131=0,"-",(B131-D131)/B131)</f>
        <v/>
      </c>
      <c r="H131" s="32">
        <f>IF(OR(B131=0,B130=0),"-",(B131-B130)/B130)</f>
        <v/>
      </c>
    </row>
    <row r="132" ht="17" customHeight="1">
      <c r="A132" s="26" t="n"/>
      <c r="B132" s="27" t="n"/>
      <c r="C132" s="28" t="n"/>
      <c r="D132" s="27" t="n"/>
      <c r="E132" s="28" t="n"/>
      <c r="F132" s="29">
        <f>IF(B132=0,"-",B132-D132)</f>
        <v/>
      </c>
      <c r="G132" s="30">
        <f>IF(B132=0,"-",(B132-D132)/B132)</f>
        <v/>
      </c>
      <c r="H132" s="30">
        <f>IF(OR(B132=0,B131=0),"-",(B132-B131)/B131)</f>
        <v/>
      </c>
    </row>
    <row r="133" ht="17" customHeight="1">
      <c r="A133" s="26" t="n"/>
      <c r="B133" s="27" t="n"/>
      <c r="C133" s="28" t="n"/>
      <c r="D133" s="27" t="n"/>
      <c r="E133" s="28" t="n"/>
      <c r="F133" s="31">
        <f>IF(B133=0,"-",B133-D133)</f>
        <v/>
      </c>
      <c r="G133" s="32">
        <f>IF(B133=0,"-",(B133-D133)/B133)</f>
        <v/>
      </c>
      <c r="H133" s="32">
        <f>IF(OR(B133=0,B132=0),"-",(B133-B132)/B132)</f>
        <v/>
      </c>
    </row>
    <row r="134" ht="17" customHeight="1">
      <c r="A134" s="26" t="n"/>
      <c r="B134" s="27" t="n"/>
      <c r="C134" s="28" t="n"/>
      <c r="D134" s="27" t="n"/>
      <c r="E134" s="28" t="n"/>
      <c r="F134" s="29">
        <f>IF(B134=0,"-",B134-D134)</f>
        <v/>
      </c>
      <c r="G134" s="30">
        <f>IF(B134=0,"-",(B134-D134)/B134)</f>
        <v/>
      </c>
      <c r="H134" s="30">
        <f>IF(OR(B134=0,B133=0),"-",(B134-B133)/B133)</f>
        <v/>
      </c>
    </row>
    <row r="135" ht="17" customHeight="1">
      <c r="A135" s="26" t="n"/>
      <c r="B135" s="27" t="n"/>
      <c r="C135" s="28" t="n"/>
      <c r="D135" s="27" t="n"/>
      <c r="E135" s="28" t="n"/>
      <c r="F135" s="31">
        <f>IF(B135=0,"-",B135-D135)</f>
        <v/>
      </c>
      <c r="G135" s="32">
        <f>IF(B135=0,"-",(B135-D135)/B135)</f>
        <v/>
      </c>
      <c r="H135" s="32">
        <f>IF(OR(B135=0,B134=0),"-",(B135-B134)/B134)</f>
        <v/>
      </c>
    </row>
    <row r="136" ht="17" customHeight="1">
      <c r="A136" s="26" t="n"/>
      <c r="B136" s="27" t="n"/>
      <c r="C136" s="28" t="n"/>
      <c r="D136" s="27" t="n"/>
      <c r="E136" s="28" t="n"/>
      <c r="F136" s="29">
        <f>IF(B136=0,"-",B136-D136)</f>
        <v/>
      </c>
      <c r="G136" s="30">
        <f>IF(B136=0,"-",(B136-D136)/B136)</f>
        <v/>
      </c>
      <c r="H136" s="30">
        <f>IF(OR(B136=0,B135=0),"-",(B136-B135)/B135)</f>
        <v/>
      </c>
    </row>
    <row r="137" ht="17" customHeight="1">
      <c r="A137" s="26" t="n"/>
      <c r="B137" s="27" t="n"/>
      <c r="C137" s="28" t="n"/>
      <c r="D137" s="27" t="n"/>
      <c r="E137" s="28" t="n"/>
      <c r="F137" s="31">
        <f>IF(B137=0,"-",B137-D137)</f>
        <v/>
      </c>
      <c r="G137" s="32">
        <f>IF(B137=0,"-",(B137-D137)/B137)</f>
        <v/>
      </c>
      <c r="H137" s="32">
        <f>IF(OR(B137=0,B136=0),"-",(B137-B136)/B136)</f>
        <v/>
      </c>
    </row>
    <row r="138" ht="17" customHeight="1">
      <c r="A138" s="26" t="n"/>
      <c r="B138" s="27" t="n"/>
      <c r="C138" s="28" t="n"/>
      <c r="D138" s="27" t="n"/>
      <c r="E138" s="28" t="n"/>
      <c r="F138" s="29">
        <f>IF(B138=0,"-",B138-D138)</f>
        <v/>
      </c>
      <c r="G138" s="30">
        <f>IF(B138=0,"-",(B138-D138)/B138)</f>
        <v/>
      </c>
      <c r="H138" s="30">
        <f>IF(OR(B138=0,B137=0),"-",(B138-B137)/B137)</f>
        <v/>
      </c>
    </row>
    <row r="139" ht="17" customHeight="1">
      <c r="A139" s="26" t="n"/>
      <c r="B139" s="27" t="n"/>
      <c r="C139" s="28" t="n"/>
      <c r="D139" s="27" t="n"/>
      <c r="E139" s="28" t="n"/>
      <c r="F139" s="31">
        <f>IF(B139=0,"-",B139-D139)</f>
        <v/>
      </c>
      <c r="G139" s="32">
        <f>IF(B139=0,"-",(B139-D139)/B139)</f>
        <v/>
      </c>
      <c r="H139" s="32">
        <f>IF(OR(B139=0,B138=0),"-",(B139-B138)/B138)</f>
        <v/>
      </c>
    </row>
    <row r="140" ht="17" customHeight="1">
      <c r="A140" s="26" t="n"/>
      <c r="B140" s="27" t="n"/>
      <c r="C140" s="28" t="n"/>
      <c r="D140" s="27" t="n"/>
      <c r="E140" s="28" t="n"/>
      <c r="F140" s="29">
        <f>IF(B140=0,"-",B140-D140)</f>
        <v/>
      </c>
      <c r="G140" s="30">
        <f>IF(B140=0,"-",(B140-D140)/B140)</f>
        <v/>
      </c>
      <c r="H140" s="30">
        <f>IF(OR(B140=0,B139=0),"-",(B140-B139)/B139)</f>
        <v/>
      </c>
    </row>
    <row r="141" ht="17" customHeight="1">
      <c r="A141" s="26" t="n"/>
      <c r="B141" s="27" t="n"/>
      <c r="C141" s="28" t="n"/>
      <c r="D141" s="27" t="n"/>
      <c r="E141" s="28" t="n"/>
      <c r="F141" s="31">
        <f>IF(B141=0,"-",B141-D141)</f>
        <v/>
      </c>
      <c r="G141" s="32">
        <f>IF(B141=0,"-",(B141-D141)/B141)</f>
        <v/>
      </c>
      <c r="H141" s="32">
        <f>IF(OR(B141=0,B140=0),"-",(B141-B140)/B140)</f>
        <v/>
      </c>
    </row>
    <row r="142" ht="17" customHeight="1">
      <c r="A142" s="26" t="n"/>
      <c r="B142" s="27" t="n"/>
      <c r="C142" s="28" t="n"/>
      <c r="D142" s="27" t="n"/>
      <c r="E142" s="28" t="n"/>
      <c r="F142" s="29">
        <f>IF(B142=0,"-",B142-D142)</f>
        <v/>
      </c>
      <c r="G142" s="30">
        <f>IF(B142=0,"-",(B142-D142)/B142)</f>
        <v/>
      </c>
      <c r="H142" s="30">
        <f>IF(OR(B142=0,B141=0),"-",(B142-B141)/B141)</f>
        <v/>
      </c>
    </row>
    <row r="143" ht="17" customHeight="1">
      <c r="A143" s="26" t="n"/>
      <c r="B143" s="27" t="n"/>
      <c r="C143" s="28" t="n"/>
      <c r="D143" s="27" t="n"/>
      <c r="E143" s="28" t="n"/>
      <c r="F143" s="31">
        <f>IF(B143=0,"-",B143-D143)</f>
        <v/>
      </c>
      <c r="G143" s="32">
        <f>IF(B143=0,"-",(B143-D143)/B143)</f>
        <v/>
      </c>
      <c r="H143" s="32">
        <f>IF(OR(B143=0,B142=0),"-",(B143-B142)/B142)</f>
        <v/>
      </c>
    </row>
    <row r="144" ht="17" customHeight="1">
      <c r="A144" s="26" t="n"/>
      <c r="B144" s="27" t="n"/>
      <c r="C144" s="28" t="n"/>
      <c r="D144" s="27" t="n"/>
      <c r="E144" s="28" t="n"/>
      <c r="F144" s="29">
        <f>IF(B144=0,"-",B144-D144)</f>
        <v/>
      </c>
      <c r="G144" s="30">
        <f>IF(B144=0,"-",(B144-D144)/B144)</f>
        <v/>
      </c>
      <c r="H144" s="30">
        <f>IF(OR(B144=0,B143=0),"-",(B144-B143)/B143)</f>
        <v/>
      </c>
    </row>
    <row r="145" ht="17" customHeight="1">
      <c r="A145" s="26" t="n"/>
      <c r="B145" s="27" t="n"/>
      <c r="C145" s="28" t="n"/>
      <c r="D145" s="27" t="n"/>
      <c r="E145" s="28" t="n"/>
      <c r="F145" s="31">
        <f>IF(B145=0,"-",B145-D145)</f>
        <v/>
      </c>
      <c r="G145" s="32">
        <f>IF(B145=0,"-",(B145-D145)/B145)</f>
        <v/>
      </c>
      <c r="H145" s="32">
        <f>IF(OR(B145=0,B144=0),"-",(B145-B144)/B144)</f>
        <v/>
      </c>
    </row>
    <row r="146" ht="17" customHeight="1">
      <c r="A146" s="26" t="n"/>
      <c r="B146" s="27" t="n"/>
      <c r="C146" s="28" t="n"/>
      <c r="D146" s="27" t="n"/>
      <c r="E146" s="28" t="n"/>
      <c r="F146" s="29">
        <f>IF(B146=0,"-",B146-D146)</f>
        <v/>
      </c>
      <c r="G146" s="30">
        <f>IF(B146=0,"-",(B146-D146)/B146)</f>
        <v/>
      </c>
      <c r="H146" s="30">
        <f>IF(OR(B146=0,B145=0),"-",(B146-B145)/B145)</f>
        <v/>
      </c>
    </row>
    <row r="147" ht="17" customHeight="1">
      <c r="A147" s="26" t="n"/>
      <c r="B147" s="27" t="n"/>
      <c r="C147" s="28" t="n"/>
      <c r="D147" s="27" t="n"/>
      <c r="E147" s="28" t="n"/>
      <c r="F147" s="31">
        <f>IF(B147=0,"-",B147-D147)</f>
        <v/>
      </c>
      <c r="G147" s="32">
        <f>IF(B147=0,"-",(B147-D147)/B147)</f>
        <v/>
      </c>
      <c r="H147" s="32">
        <f>IF(OR(B147=0,B146=0),"-",(B147-B146)/B146)</f>
        <v/>
      </c>
    </row>
    <row r="148" ht="17" customHeight="1">
      <c r="A148" s="26" t="n"/>
      <c r="B148" s="27" t="n"/>
      <c r="C148" s="28" t="n"/>
      <c r="D148" s="27" t="n"/>
      <c r="E148" s="28" t="n"/>
      <c r="F148" s="29">
        <f>IF(B148=0,"-",B148-D148)</f>
        <v/>
      </c>
      <c r="G148" s="30">
        <f>IF(B148=0,"-",(B148-D148)/B148)</f>
        <v/>
      </c>
      <c r="H148" s="30">
        <f>IF(OR(B148=0,B147=0),"-",(B148-B147)/B147)</f>
        <v/>
      </c>
    </row>
    <row r="149" ht="17" customHeight="1">
      <c r="A149" s="26" t="n"/>
      <c r="B149" s="27" t="n"/>
      <c r="C149" s="28" t="n"/>
      <c r="D149" s="27" t="n"/>
      <c r="E149" s="28" t="n"/>
      <c r="F149" s="31">
        <f>IF(B149=0,"-",B149-D149)</f>
        <v/>
      </c>
      <c r="G149" s="32">
        <f>IF(B149=0,"-",(B149-D149)/B149)</f>
        <v/>
      </c>
      <c r="H149" s="32">
        <f>IF(OR(B149=0,B148=0),"-",(B149-B148)/B148)</f>
        <v/>
      </c>
    </row>
    <row r="150" ht="17" customHeight="1">
      <c r="A150" s="26" t="n"/>
      <c r="B150" s="27" t="n"/>
      <c r="C150" s="28" t="n"/>
      <c r="D150" s="27" t="n"/>
      <c r="E150" s="28" t="n"/>
      <c r="F150" s="29">
        <f>IF(B150=0,"-",B150-D150)</f>
        <v/>
      </c>
      <c r="G150" s="30">
        <f>IF(B150=0,"-",(B150-D150)/B150)</f>
        <v/>
      </c>
      <c r="H150" s="30">
        <f>IF(OR(B150=0,B149=0),"-",(B150-B149)/B149)</f>
        <v/>
      </c>
    </row>
    <row r="151" ht="17" customHeight="1">
      <c r="A151" s="26" t="n"/>
      <c r="B151" s="27" t="n"/>
      <c r="C151" s="28" t="n"/>
      <c r="D151" s="27" t="n"/>
      <c r="E151" s="28" t="n"/>
      <c r="F151" s="31">
        <f>IF(B151=0,"-",B151-D151)</f>
        <v/>
      </c>
      <c r="G151" s="32">
        <f>IF(B151=0,"-",(B151-D151)/B151)</f>
        <v/>
      </c>
      <c r="H151" s="32">
        <f>IF(OR(B151=0,B150=0),"-",(B151-B150)/B150)</f>
        <v/>
      </c>
    </row>
    <row r="152" ht="17" customHeight="1">
      <c r="A152" s="26" t="n"/>
      <c r="B152" s="27" t="n"/>
      <c r="C152" s="28" t="n"/>
      <c r="D152" s="27" t="n"/>
      <c r="E152" s="28" t="n"/>
      <c r="F152" s="29">
        <f>IF(B152=0,"-",B152-D152)</f>
        <v/>
      </c>
      <c r="G152" s="30">
        <f>IF(B152=0,"-",(B152-D152)/B152)</f>
        <v/>
      </c>
      <c r="H152" s="30">
        <f>IF(OR(B152=0,B151=0),"-",(B152-B151)/B151)</f>
        <v/>
      </c>
    </row>
    <row r="153" ht="17" customHeight="1">
      <c r="A153" s="26" t="n"/>
      <c r="B153" s="27" t="n"/>
      <c r="C153" s="28" t="n"/>
      <c r="D153" s="27" t="n"/>
      <c r="E153" s="28" t="n"/>
      <c r="F153" s="31">
        <f>IF(B153=0,"-",B153-D153)</f>
        <v/>
      </c>
      <c r="G153" s="32">
        <f>IF(B153=0,"-",(B153-D153)/B153)</f>
        <v/>
      </c>
      <c r="H153" s="32">
        <f>IF(OR(B153=0,B152=0),"-",(B153-B152)/B152)</f>
        <v/>
      </c>
    </row>
    <row r="154" ht="17" customHeight="1">
      <c r="A154" s="26" t="n"/>
      <c r="B154" s="27" t="n"/>
      <c r="C154" s="28" t="n"/>
      <c r="D154" s="27" t="n"/>
      <c r="E154" s="28" t="n"/>
      <c r="F154" s="29">
        <f>IF(B154=0,"-",B154-D154)</f>
        <v/>
      </c>
      <c r="G154" s="30">
        <f>IF(B154=0,"-",(B154-D154)/B154)</f>
        <v/>
      </c>
      <c r="H154" s="30">
        <f>IF(OR(B154=0,B153=0),"-",(B154-B153)/B153)</f>
        <v/>
      </c>
    </row>
    <row r="155" ht="17" customHeight="1">
      <c r="A155" s="26" t="n"/>
      <c r="B155" s="27" t="n"/>
      <c r="C155" s="28" t="n"/>
      <c r="D155" s="27" t="n"/>
      <c r="E155" s="28" t="n"/>
      <c r="F155" s="31">
        <f>IF(B155=0,"-",B155-D155)</f>
        <v/>
      </c>
      <c r="G155" s="32">
        <f>IF(B155=0,"-",(B155-D155)/B155)</f>
        <v/>
      </c>
      <c r="H155" s="32">
        <f>IF(OR(B155=0,B154=0),"-",(B155-B154)/B154)</f>
        <v/>
      </c>
    </row>
    <row r="156" ht="17" customHeight="1">
      <c r="A156" s="26" t="n"/>
      <c r="B156" s="27" t="n"/>
      <c r="C156" s="28" t="n"/>
      <c r="D156" s="27" t="n"/>
      <c r="E156" s="28" t="n"/>
      <c r="F156" s="29">
        <f>IF(B156=0,"-",B156-D156)</f>
        <v/>
      </c>
      <c r="G156" s="30">
        <f>IF(B156=0,"-",(B156-D156)/B156)</f>
        <v/>
      </c>
      <c r="H156" s="30">
        <f>IF(OR(B156=0,B155=0),"-",(B156-B155)/B155)</f>
        <v/>
      </c>
    </row>
    <row r="157" ht="17" customHeight="1">
      <c r="A157" s="26" t="n"/>
      <c r="B157" s="27" t="n"/>
      <c r="C157" s="28" t="n"/>
      <c r="D157" s="27" t="n"/>
      <c r="E157" s="28" t="n"/>
      <c r="F157" s="31">
        <f>IF(B157=0,"-",B157-D157)</f>
        <v/>
      </c>
      <c r="G157" s="32">
        <f>IF(B157=0,"-",(B157-D157)/B157)</f>
        <v/>
      </c>
      <c r="H157" s="32">
        <f>IF(OR(B157=0,B156=0),"-",(B157-B156)/B156)</f>
        <v/>
      </c>
    </row>
    <row r="158" ht="17" customHeight="1">
      <c r="A158" s="26" t="n"/>
      <c r="B158" s="27" t="n"/>
      <c r="C158" s="28" t="n"/>
      <c r="D158" s="27" t="n"/>
      <c r="E158" s="28" t="n"/>
      <c r="F158" s="29">
        <f>IF(B158=0,"-",B158-D158)</f>
        <v/>
      </c>
      <c r="G158" s="30">
        <f>IF(B158=0,"-",(B158-D158)/B158)</f>
        <v/>
      </c>
      <c r="H158" s="30">
        <f>IF(OR(B158=0,B157=0),"-",(B158-B157)/B157)</f>
        <v/>
      </c>
    </row>
    <row r="159" ht="17" customHeight="1">
      <c r="A159" s="26" t="n"/>
      <c r="B159" s="27" t="n"/>
      <c r="C159" s="28" t="n"/>
      <c r="D159" s="27" t="n"/>
      <c r="E159" s="28" t="n"/>
      <c r="F159" s="31">
        <f>IF(B159=0,"-",B159-D159)</f>
        <v/>
      </c>
      <c r="G159" s="32">
        <f>IF(B159=0,"-",(B159-D159)/B159)</f>
        <v/>
      </c>
      <c r="H159" s="32">
        <f>IF(OR(B159=0,B158=0),"-",(B159-B158)/B158)</f>
        <v/>
      </c>
    </row>
    <row r="160" ht="17" customHeight="1">
      <c r="A160" s="26" t="n"/>
      <c r="B160" s="27" t="n"/>
      <c r="C160" s="28" t="n"/>
      <c r="D160" s="27" t="n"/>
      <c r="E160" s="28" t="n"/>
      <c r="F160" s="29">
        <f>IF(B160=0,"-",B160-D160)</f>
        <v/>
      </c>
      <c r="G160" s="30">
        <f>IF(B160=0,"-",(B160-D160)/B160)</f>
        <v/>
      </c>
      <c r="H160" s="30">
        <f>IF(OR(B160=0,B159=0),"-",(B160-B159)/B159)</f>
        <v/>
      </c>
    </row>
    <row r="161" ht="17" customHeight="1">
      <c r="A161" s="26" t="n"/>
      <c r="B161" s="27" t="n"/>
      <c r="C161" s="28" t="n"/>
      <c r="D161" s="27" t="n"/>
      <c r="E161" s="28" t="n"/>
      <c r="F161" s="31">
        <f>IF(B161=0,"-",B161-D161)</f>
        <v/>
      </c>
      <c r="G161" s="32">
        <f>IF(B161=0,"-",(B161-D161)/B161)</f>
        <v/>
      </c>
      <c r="H161" s="32">
        <f>IF(OR(B161=0,B160=0),"-",(B161-B160)/B160)</f>
        <v/>
      </c>
    </row>
    <row r="162" ht="17" customHeight="1">
      <c r="A162" s="26" t="n"/>
      <c r="B162" s="27" t="n"/>
      <c r="C162" s="28" t="n"/>
      <c r="D162" s="27" t="n"/>
      <c r="E162" s="28" t="n"/>
      <c r="F162" s="29">
        <f>IF(B162=0,"-",B162-D162)</f>
        <v/>
      </c>
      <c r="G162" s="30">
        <f>IF(B162=0,"-",(B162-D162)/B162)</f>
        <v/>
      </c>
      <c r="H162" s="30">
        <f>IF(OR(B162=0,B161=0),"-",(B162-B161)/B161)</f>
        <v/>
      </c>
    </row>
    <row r="163" ht="17" customHeight="1">
      <c r="A163" s="26" t="n"/>
      <c r="B163" s="27" t="n"/>
      <c r="C163" s="28" t="n"/>
      <c r="D163" s="27" t="n"/>
      <c r="E163" s="28" t="n"/>
      <c r="F163" s="31">
        <f>IF(B163=0,"-",B163-D163)</f>
        <v/>
      </c>
      <c r="G163" s="32">
        <f>IF(B163=0,"-",(B163-D163)/B163)</f>
        <v/>
      </c>
      <c r="H163" s="32">
        <f>IF(OR(B163=0,B162=0),"-",(B163-B162)/B162)</f>
        <v/>
      </c>
    </row>
    <row r="164" ht="17" customHeight="1">
      <c r="A164" s="26" t="n"/>
      <c r="B164" s="27" t="n"/>
      <c r="C164" s="28" t="n"/>
      <c r="D164" s="27" t="n"/>
      <c r="E164" s="28" t="n"/>
      <c r="F164" s="29">
        <f>IF(B164=0,"-",B164-D164)</f>
        <v/>
      </c>
      <c r="G164" s="30">
        <f>IF(B164=0,"-",(B164-D164)/B164)</f>
        <v/>
      </c>
      <c r="H164" s="30">
        <f>IF(OR(B164=0,B163=0),"-",(B164-B163)/B163)</f>
        <v/>
      </c>
    </row>
    <row r="165" ht="17" customHeight="1">
      <c r="A165" s="26" t="n"/>
      <c r="B165" s="27" t="n"/>
      <c r="C165" s="28" t="n"/>
      <c r="D165" s="27" t="n"/>
      <c r="E165" s="28" t="n"/>
      <c r="F165" s="31">
        <f>IF(B165=0,"-",B165-D165)</f>
        <v/>
      </c>
      <c r="G165" s="32">
        <f>IF(B165=0,"-",(B165-D165)/B165)</f>
        <v/>
      </c>
      <c r="H165" s="32">
        <f>IF(OR(B165=0,B164=0),"-",(B165-B164)/B164)</f>
        <v/>
      </c>
    </row>
    <row r="166" ht="17" customHeight="1">
      <c r="A166" s="26" t="n"/>
      <c r="B166" s="27" t="n"/>
      <c r="C166" s="28" t="n"/>
      <c r="D166" s="27" t="n"/>
      <c r="E166" s="28" t="n"/>
      <c r="F166" s="29">
        <f>IF(B166=0,"-",B166-D166)</f>
        <v/>
      </c>
      <c r="G166" s="30">
        <f>IF(B166=0,"-",(B166-D166)/B166)</f>
        <v/>
      </c>
      <c r="H166" s="30">
        <f>IF(OR(B166=0,B165=0),"-",(B166-B165)/B165)</f>
        <v/>
      </c>
    </row>
    <row r="167" ht="17" customHeight="1">
      <c r="A167" s="26" t="n"/>
      <c r="B167" s="27" t="n"/>
      <c r="C167" s="28" t="n"/>
      <c r="D167" s="27" t="n"/>
      <c r="E167" s="28" t="n"/>
      <c r="F167" s="31">
        <f>IF(B167=0,"-",B167-D167)</f>
        <v/>
      </c>
      <c r="G167" s="32">
        <f>IF(B167=0,"-",(B167-D167)/B167)</f>
        <v/>
      </c>
      <c r="H167" s="32">
        <f>IF(OR(B167=0,B166=0),"-",(B167-B166)/B166)</f>
        <v/>
      </c>
    </row>
    <row r="168" ht="17" customHeight="1">
      <c r="A168" s="26" t="n"/>
      <c r="B168" s="27" t="n"/>
      <c r="C168" s="28" t="n"/>
      <c r="D168" s="27" t="n"/>
      <c r="E168" s="28" t="n"/>
      <c r="F168" s="29">
        <f>IF(B168=0,"-",B168-D168)</f>
        <v/>
      </c>
      <c r="G168" s="30">
        <f>IF(B168=0,"-",(B168-D168)/B168)</f>
        <v/>
      </c>
      <c r="H168" s="30">
        <f>IF(OR(B168=0,B167=0),"-",(B168-B167)/B167)</f>
        <v/>
      </c>
    </row>
    <row r="169" ht="17" customHeight="1">
      <c r="A169" s="26" t="n"/>
      <c r="B169" s="27" t="n"/>
      <c r="C169" s="28" t="n"/>
      <c r="D169" s="27" t="n"/>
      <c r="E169" s="28" t="n"/>
      <c r="F169" s="31">
        <f>IF(B169=0,"-",B169-D169)</f>
        <v/>
      </c>
      <c r="G169" s="32">
        <f>IF(B169=0,"-",(B169-D169)/B169)</f>
        <v/>
      </c>
      <c r="H169" s="32">
        <f>IF(OR(B169=0,B168=0),"-",(B169-B168)/B168)</f>
        <v/>
      </c>
    </row>
    <row r="170" ht="17" customHeight="1">
      <c r="A170" s="26" t="n"/>
      <c r="B170" s="27" t="n"/>
      <c r="C170" s="28" t="n"/>
      <c r="D170" s="27" t="n"/>
      <c r="E170" s="28" t="n"/>
      <c r="F170" s="29">
        <f>IF(B170=0,"-",B170-D170)</f>
        <v/>
      </c>
      <c r="G170" s="30">
        <f>IF(B170=0,"-",(B170-D170)/B170)</f>
        <v/>
      </c>
      <c r="H170" s="30">
        <f>IF(OR(B170=0,B169=0),"-",(B170-B169)/B169)</f>
        <v/>
      </c>
    </row>
    <row r="171" ht="17" customHeight="1">
      <c r="A171" s="26" t="n"/>
      <c r="B171" s="27" t="n"/>
      <c r="C171" s="28" t="n"/>
      <c r="D171" s="27" t="n"/>
      <c r="E171" s="28" t="n"/>
      <c r="F171" s="31">
        <f>IF(B171=0,"-",B171-D171)</f>
        <v/>
      </c>
      <c r="G171" s="32">
        <f>IF(B171=0,"-",(B171-D171)/B171)</f>
        <v/>
      </c>
      <c r="H171" s="32">
        <f>IF(OR(B171=0,B170=0),"-",(B171-B170)/B170)</f>
        <v/>
      </c>
    </row>
    <row r="172" ht="17" customHeight="1">
      <c r="A172" s="26" t="n"/>
      <c r="B172" s="27" t="n"/>
      <c r="C172" s="28" t="n"/>
      <c r="D172" s="27" t="n"/>
      <c r="E172" s="28" t="n"/>
      <c r="F172" s="29">
        <f>IF(B172=0,"-",B172-D172)</f>
        <v/>
      </c>
      <c r="G172" s="30">
        <f>IF(B172=0,"-",(B172-D172)/B172)</f>
        <v/>
      </c>
      <c r="H172" s="30">
        <f>IF(OR(B172=0,B171=0),"-",(B172-B171)/B171)</f>
        <v/>
      </c>
    </row>
    <row r="173" ht="17" customHeight="1">
      <c r="A173" s="26" t="n"/>
      <c r="B173" s="27" t="n"/>
      <c r="C173" s="28" t="n"/>
      <c r="D173" s="27" t="n"/>
      <c r="E173" s="28" t="n"/>
      <c r="F173" s="31">
        <f>IF(B173=0,"-",B173-D173)</f>
        <v/>
      </c>
      <c r="G173" s="32">
        <f>IF(B173=0,"-",(B173-D173)/B173)</f>
        <v/>
      </c>
      <c r="H173" s="32">
        <f>IF(OR(B173=0,B172=0),"-",(B173-B172)/B172)</f>
        <v/>
      </c>
    </row>
    <row r="174" ht="17" customHeight="1">
      <c r="A174" s="26" t="n"/>
      <c r="B174" s="27" t="n"/>
      <c r="C174" s="28" t="n"/>
      <c r="D174" s="27" t="n"/>
      <c r="E174" s="28" t="n"/>
      <c r="F174" s="29">
        <f>IF(B174=0,"-",B174-D174)</f>
        <v/>
      </c>
      <c r="G174" s="30">
        <f>IF(B174=0,"-",(B174-D174)/B174)</f>
        <v/>
      </c>
      <c r="H174" s="30">
        <f>IF(OR(B174=0,B173=0),"-",(B174-B173)/B173)</f>
        <v/>
      </c>
    </row>
    <row r="175" ht="17" customHeight="1">
      <c r="A175" s="26" t="n"/>
      <c r="B175" s="27" t="n"/>
      <c r="C175" s="28" t="n"/>
      <c r="D175" s="27" t="n"/>
      <c r="E175" s="28" t="n"/>
      <c r="F175" s="31">
        <f>IF(B175=0,"-",B175-D175)</f>
        <v/>
      </c>
      <c r="G175" s="32">
        <f>IF(B175=0,"-",(B175-D175)/B175)</f>
        <v/>
      </c>
      <c r="H175" s="32">
        <f>IF(OR(B175=0,B174=0),"-",(B175-B174)/B174)</f>
        <v/>
      </c>
    </row>
    <row r="176" ht="17" customHeight="1">
      <c r="A176" s="26" t="n"/>
      <c r="B176" s="27" t="n"/>
      <c r="C176" s="28" t="n"/>
      <c r="D176" s="27" t="n"/>
      <c r="E176" s="28" t="n"/>
      <c r="F176" s="29">
        <f>IF(B176=0,"-",B176-D176)</f>
        <v/>
      </c>
      <c r="G176" s="30">
        <f>IF(B176=0,"-",(B176-D176)/B176)</f>
        <v/>
      </c>
      <c r="H176" s="30">
        <f>IF(OR(B176=0,B175=0),"-",(B176-B175)/B175)</f>
        <v/>
      </c>
    </row>
    <row r="177" ht="17" customHeight="1">
      <c r="A177" s="26" t="n"/>
      <c r="B177" s="27" t="n"/>
      <c r="C177" s="28" t="n"/>
      <c r="D177" s="27" t="n"/>
      <c r="E177" s="28" t="n"/>
      <c r="F177" s="31">
        <f>IF(B177=0,"-",B177-D177)</f>
        <v/>
      </c>
      <c r="G177" s="32">
        <f>IF(B177=0,"-",(B177-D177)/B177)</f>
        <v/>
      </c>
      <c r="H177" s="32">
        <f>IF(OR(B177=0,B176=0),"-",(B177-B176)/B176)</f>
        <v/>
      </c>
    </row>
    <row r="178" ht="17" customHeight="1">
      <c r="A178" s="26" t="n"/>
      <c r="B178" s="27" t="n"/>
      <c r="C178" s="28" t="n"/>
      <c r="D178" s="27" t="n"/>
      <c r="E178" s="28" t="n"/>
      <c r="F178" s="29">
        <f>IF(B178=0,"-",B178-D178)</f>
        <v/>
      </c>
      <c r="G178" s="30">
        <f>IF(B178=0,"-",(B178-D178)/B178)</f>
        <v/>
      </c>
      <c r="H178" s="30">
        <f>IF(OR(B178=0,B177=0),"-",(B178-B177)/B177)</f>
        <v/>
      </c>
    </row>
    <row r="179" ht="17" customHeight="1">
      <c r="A179" s="26" t="n"/>
      <c r="B179" s="27" t="n"/>
      <c r="C179" s="28" t="n"/>
      <c r="D179" s="27" t="n"/>
      <c r="E179" s="28" t="n"/>
      <c r="F179" s="31">
        <f>IF(B179=0,"-",B179-D179)</f>
        <v/>
      </c>
      <c r="G179" s="32">
        <f>IF(B179=0,"-",(B179-D179)/B179)</f>
        <v/>
      </c>
      <c r="H179" s="32">
        <f>IF(OR(B179=0,B178=0),"-",(B179-B178)/B178)</f>
        <v/>
      </c>
    </row>
    <row r="180" ht="17" customHeight="1">
      <c r="A180" s="26" t="n"/>
      <c r="B180" s="27" t="n"/>
      <c r="C180" s="28" t="n"/>
      <c r="D180" s="27" t="n"/>
      <c r="E180" s="28" t="n"/>
      <c r="F180" s="29">
        <f>IF(B180=0,"-",B180-D180)</f>
        <v/>
      </c>
      <c r="G180" s="30">
        <f>IF(B180=0,"-",(B180-D180)/B180)</f>
        <v/>
      </c>
      <c r="H180" s="30">
        <f>IF(OR(B180=0,B179=0),"-",(B180-B179)/B179)</f>
        <v/>
      </c>
    </row>
    <row r="181" ht="17" customHeight="1">
      <c r="A181" s="26" t="n"/>
      <c r="B181" s="27" t="n"/>
      <c r="C181" s="28" t="n"/>
      <c r="D181" s="27" t="n"/>
      <c r="E181" s="28" t="n"/>
      <c r="F181" s="31">
        <f>IF(B181=0,"-",B181-D181)</f>
        <v/>
      </c>
      <c r="G181" s="32">
        <f>IF(B181=0,"-",(B181-D181)/B181)</f>
        <v/>
      </c>
      <c r="H181" s="32">
        <f>IF(OR(B181=0,B180=0),"-",(B181-B180)/B180)</f>
        <v/>
      </c>
    </row>
    <row r="182" ht="17" customHeight="1">
      <c r="A182" s="26" t="n"/>
      <c r="B182" s="27" t="n"/>
      <c r="C182" s="28" t="n"/>
      <c r="D182" s="27" t="n"/>
      <c r="E182" s="28" t="n"/>
      <c r="F182" s="29">
        <f>IF(B182=0,"-",B182-D182)</f>
        <v/>
      </c>
      <c r="G182" s="30">
        <f>IF(B182=0,"-",(B182-D182)/B182)</f>
        <v/>
      </c>
      <c r="H182" s="30">
        <f>IF(OR(B182=0,B181=0),"-",(B182-B181)/B181)</f>
        <v/>
      </c>
    </row>
    <row r="183" ht="17" customHeight="1">
      <c r="A183" s="26" t="n"/>
      <c r="B183" s="27" t="n"/>
      <c r="C183" s="28" t="n"/>
      <c r="D183" s="27" t="n"/>
      <c r="E183" s="28" t="n"/>
      <c r="F183" s="31">
        <f>IF(B183=0,"-",B183-D183)</f>
        <v/>
      </c>
      <c r="G183" s="32">
        <f>IF(B183=0,"-",(B183-D183)/B183)</f>
        <v/>
      </c>
      <c r="H183" s="32">
        <f>IF(OR(B183=0,B182=0),"-",(B183-B182)/B182)</f>
        <v/>
      </c>
    </row>
    <row r="184" ht="17" customHeight="1">
      <c r="A184" s="26" t="n"/>
      <c r="B184" s="27" t="n"/>
      <c r="C184" s="28" t="n"/>
      <c r="D184" s="27" t="n"/>
      <c r="E184" s="28" t="n"/>
      <c r="F184" s="29">
        <f>IF(B184=0,"-",B184-D184)</f>
        <v/>
      </c>
      <c r="G184" s="30">
        <f>IF(B184=0,"-",(B184-D184)/B184)</f>
        <v/>
      </c>
      <c r="H184" s="30">
        <f>IF(OR(B184=0,B183=0),"-",(B184-B183)/B183)</f>
        <v/>
      </c>
    </row>
    <row r="185" ht="17" customHeight="1">
      <c r="A185" s="26" t="n"/>
      <c r="B185" s="27" t="n"/>
      <c r="C185" s="28" t="n"/>
      <c r="D185" s="27" t="n"/>
      <c r="E185" s="28" t="n"/>
      <c r="F185" s="31">
        <f>IF(B185=0,"-",B185-D185)</f>
        <v/>
      </c>
      <c r="G185" s="32">
        <f>IF(B185=0,"-",(B185-D185)/B185)</f>
        <v/>
      </c>
      <c r="H185" s="32">
        <f>IF(OR(B185=0,B184=0),"-",(B185-B184)/B184)</f>
        <v/>
      </c>
    </row>
    <row r="186" ht="17" customHeight="1">
      <c r="A186" s="26" t="n"/>
      <c r="B186" s="27" t="n"/>
      <c r="C186" s="28" t="n"/>
      <c r="D186" s="27" t="n"/>
      <c r="E186" s="28" t="n"/>
      <c r="F186" s="29">
        <f>IF(B186=0,"-",B186-D186)</f>
        <v/>
      </c>
      <c r="G186" s="30">
        <f>IF(B186=0,"-",(B186-D186)/B186)</f>
        <v/>
      </c>
      <c r="H186" s="30">
        <f>IF(OR(B186=0,B185=0),"-",(B186-B185)/B185)</f>
        <v/>
      </c>
    </row>
    <row r="187" ht="17" customHeight="1">
      <c r="A187" s="26" t="n"/>
      <c r="B187" s="27" t="n"/>
      <c r="C187" s="28" t="n"/>
      <c r="D187" s="27" t="n"/>
      <c r="E187" s="28" t="n"/>
      <c r="F187" s="31">
        <f>IF(B187=0,"-",B187-D187)</f>
        <v/>
      </c>
      <c r="G187" s="32">
        <f>IF(B187=0,"-",(B187-D187)/B187)</f>
        <v/>
      </c>
      <c r="H187" s="32">
        <f>IF(OR(B187=0,B186=0),"-",(B187-B186)/B186)</f>
        <v/>
      </c>
    </row>
    <row r="188" ht="17" customHeight="1">
      <c r="A188" s="26" t="n"/>
      <c r="B188" s="27" t="n"/>
      <c r="C188" s="28" t="n"/>
      <c r="D188" s="27" t="n"/>
      <c r="E188" s="28" t="n"/>
      <c r="F188" s="29">
        <f>IF(B188=0,"-",B188-D188)</f>
        <v/>
      </c>
      <c r="G188" s="30">
        <f>IF(B188=0,"-",(B188-D188)/B188)</f>
        <v/>
      </c>
      <c r="H188" s="30">
        <f>IF(OR(B188=0,B187=0),"-",(B188-B187)/B187)</f>
        <v/>
      </c>
    </row>
    <row r="189" ht="17" customHeight="1">
      <c r="A189" s="26" t="n"/>
      <c r="B189" s="27" t="n"/>
      <c r="C189" s="28" t="n"/>
      <c r="D189" s="27" t="n"/>
      <c r="E189" s="28" t="n"/>
      <c r="F189" s="31">
        <f>IF(B189=0,"-",B189-D189)</f>
        <v/>
      </c>
      <c r="G189" s="32">
        <f>IF(B189=0,"-",(B189-D189)/B189)</f>
        <v/>
      </c>
      <c r="H189" s="32">
        <f>IF(OR(B189=0,B188=0),"-",(B189-B188)/B188)</f>
        <v/>
      </c>
    </row>
    <row r="190" ht="17" customHeight="1">
      <c r="A190" s="26" t="n"/>
      <c r="B190" s="27" t="n"/>
      <c r="C190" s="28" t="n"/>
      <c r="D190" s="27" t="n"/>
      <c r="E190" s="28" t="n"/>
      <c r="F190" s="29">
        <f>IF(B190=0,"-",B190-D190)</f>
        <v/>
      </c>
      <c r="G190" s="30">
        <f>IF(B190=0,"-",(B190-D190)/B190)</f>
        <v/>
      </c>
      <c r="H190" s="30">
        <f>IF(OR(B190=0,B189=0),"-",(B190-B189)/B189)</f>
        <v/>
      </c>
    </row>
    <row r="191" ht="17" customHeight="1">
      <c r="A191" s="26" t="n"/>
      <c r="B191" s="27" t="n"/>
      <c r="C191" s="28" t="n"/>
      <c r="D191" s="27" t="n"/>
      <c r="E191" s="28" t="n"/>
      <c r="F191" s="31">
        <f>IF(B191=0,"-",B191-D191)</f>
        <v/>
      </c>
      <c r="G191" s="32">
        <f>IF(B191=0,"-",(B191-D191)/B191)</f>
        <v/>
      </c>
      <c r="H191" s="32">
        <f>IF(OR(B191=0,B190=0),"-",(B191-B190)/B190)</f>
        <v/>
      </c>
    </row>
    <row r="192" ht="17" customHeight="1">
      <c r="A192" s="26" t="n"/>
      <c r="B192" s="27" t="n"/>
      <c r="C192" s="28" t="n"/>
      <c r="D192" s="27" t="n"/>
      <c r="E192" s="28" t="n"/>
      <c r="F192" s="29">
        <f>IF(B192=0,"-",B192-D192)</f>
        <v/>
      </c>
      <c r="G192" s="30">
        <f>IF(B192=0,"-",(B192-D192)/B192)</f>
        <v/>
      </c>
      <c r="H192" s="30">
        <f>IF(OR(B192=0,B191=0),"-",(B192-B191)/B191)</f>
        <v/>
      </c>
    </row>
    <row r="193" ht="17" customHeight="1">
      <c r="A193" s="26" t="n"/>
      <c r="B193" s="27" t="n"/>
      <c r="C193" s="28" t="n"/>
      <c r="D193" s="27" t="n"/>
      <c r="E193" s="28" t="n"/>
      <c r="F193" s="31">
        <f>IF(B193=0,"-",B193-D193)</f>
        <v/>
      </c>
      <c r="G193" s="32">
        <f>IF(B193=0,"-",(B193-D193)/B193)</f>
        <v/>
      </c>
      <c r="H193" s="32">
        <f>IF(OR(B193=0,B192=0),"-",(B193-B192)/B192)</f>
        <v/>
      </c>
    </row>
    <row r="194" ht="17" customHeight="1">
      <c r="A194" s="26" t="n"/>
      <c r="B194" s="27" t="n"/>
      <c r="C194" s="28" t="n"/>
      <c r="D194" s="27" t="n"/>
      <c r="E194" s="28" t="n"/>
      <c r="F194" s="29">
        <f>IF(B194=0,"-",B194-D194)</f>
        <v/>
      </c>
      <c r="G194" s="30">
        <f>IF(B194=0,"-",(B194-D194)/B194)</f>
        <v/>
      </c>
      <c r="H194" s="30">
        <f>IF(OR(B194=0,B193=0),"-",(B194-B193)/B193)</f>
        <v/>
      </c>
    </row>
    <row r="195" ht="17" customHeight="1">
      <c r="A195" s="26" t="n"/>
      <c r="B195" s="27" t="n"/>
      <c r="C195" s="28" t="n"/>
      <c r="D195" s="27" t="n"/>
      <c r="E195" s="28" t="n"/>
      <c r="F195" s="31">
        <f>IF(B195=0,"-",B195-D195)</f>
        <v/>
      </c>
      <c r="G195" s="32">
        <f>IF(B195=0,"-",(B195-D195)/B195)</f>
        <v/>
      </c>
      <c r="H195" s="32">
        <f>IF(OR(B195=0,B194=0),"-",(B195-B194)/B194)</f>
        <v/>
      </c>
    </row>
    <row r="196" ht="17" customHeight="1">
      <c r="A196" s="26" t="n"/>
      <c r="B196" s="27" t="n"/>
      <c r="C196" s="28" t="n"/>
      <c r="D196" s="27" t="n"/>
      <c r="E196" s="28" t="n"/>
      <c r="F196" s="29">
        <f>IF(B196=0,"-",B196-D196)</f>
        <v/>
      </c>
      <c r="G196" s="30">
        <f>IF(B196=0,"-",(B196-D196)/B196)</f>
        <v/>
      </c>
      <c r="H196" s="30">
        <f>IF(OR(B196=0,B195=0),"-",(B196-B195)/B195)</f>
        <v/>
      </c>
    </row>
    <row r="197" ht="17" customHeight="1">
      <c r="A197" s="26" t="n"/>
      <c r="B197" s="27" t="n"/>
      <c r="C197" s="28" t="n"/>
      <c r="D197" s="27" t="n"/>
      <c r="E197" s="28" t="n"/>
      <c r="F197" s="31">
        <f>IF(B197=0,"-",B197-D197)</f>
        <v/>
      </c>
      <c r="G197" s="32">
        <f>IF(B197=0,"-",(B197-D197)/B197)</f>
        <v/>
      </c>
      <c r="H197" s="32">
        <f>IF(OR(B197=0,B196=0),"-",(B197-B196)/B196)</f>
        <v/>
      </c>
    </row>
    <row r="198" ht="17" customHeight="1">
      <c r="A198" s="26" t="n"/>
      <c r="B198" s="27" t="n"/>
      <c r="C198" s="28" t="n"/>
      <c r="D198" s="27" t="n"/>
      <c r="E198" s="28" t="n"/>
      <c r="F198" s="29">
        <f>IF(B198=0,"-",B198-D198)</f>
        <v/>
      </c>
      <c r="G198" s="30">
        <f>IF(B198=0,"-",(B198-D198)/B198)</f>
        <v/>
      </c>
      <c r="H198" s="30">
        <f>IF(OR(B198=0,B197=0),"-",(B198-B197)/B197)</f>
        <v/>
      </c>
    </row>
    <row r="199" ht="17" customHeight="1">
      <c r="A199" s="26" t="n"/>
      <c r="B199" s="27" t="n"/>
      <c r="C199" s="28" t="n"/>
      <c r="D199" s="27" t="n"/>
      <c r="E199" s="28" t="n"/>
      <c r="F199" s="31">
        <f>IF(B199=0,"-",B199-D199)</f>
        <v/>
      </c>
      <c r="G199" s="32">
        <f>IF(B199=0,"-",(B199-D199)/B199)</f>
        <v/>
      </c>
      <c r="H199" s="32">
        <f>IF(OR(B199=0,B198=0),"-",(B199-B198)/B198)</f>
        <v/>
      </c>
    </row>
    <row r="200" ht="17" customHeight="1">
      <c r="A200" s="26" t="n"/>
      <c r="B200" s="27" t="n"/>
      <c r="C200" s="28" t="n"/>
      <c r="D200" s="27" t="n"/>
      <c r="E200" s="28" t="n"/>
      <c r="F200" s="29">
        <f>IF(B200=0,"-",B200-D200)</f>
        <v/>
      </c>
      <c r="G200" s="30">
        <f>IF(B200=0,"-",(B200-D200)/B200)</f>
        <v/>
      </c>
      <c r="H200" s="30">
        <f>IF(OR(B200=0,B199=0),"-",(B200-B199)/B199)</f>
        <v/>
      </c>
    </row>
    <row r="201" ht="17" customHeight="1">
      <c r="A201" s="26" t="n"/>
      <c r="B201" s="27" t="n"/>
      <c r="C201" s="28" t="n"/>
      <c r="D201" s="27" t="n"/>
      <c r="E201" s="28" t="n"/>
      <c r="F201" s="31">
        <f>IF(B201=0,"-",B201-D201)</f>
        <v/>
      </c>
      <c r="G201" s="32">
        <f>IF(B201=0,"-",(B201-D201)/B201)</f>
        <v/>
      </c>
      <c r="H201" s="32">
        <f>IF(OR(B201=0,B200=0),"-",(B201-B200)/B200)</f>
        <v/>
      </c>
    </row>
    <row r="202" ht="17" customHeight="1">
      <c r="A202" s="26" t="n"/>
      <c r="B202" s="27" t="n"/>
      <c r="C202" s="28" t="n"/>
      <c r="D202" s="27" t="n"/>
      <c r="E202" s="28" t="n"/>
      <c r="F202" s="29">
        <f>IF(B202=0,"-",B202-D202)</f>
        <v/>
      </c>
      <c r="G202" s="30">
        <f>IF(B202=0,"-",(B202-D202)/B202)</f>
        <v/>
      </c>
      <c r="H202" s="30">
        <f>IF(OR(B202=0,B201=0),"-",(B202-B201)/B201)</f>
        <v/>
      </c>
    </row>
    <row r="203" ht="17" customHeight="1">
      <c r="A203" s="26" t="n"/>
      <c r="B203" s="27" t="n"/>
      <c r="C203" s="28" t="n"/>
      <c r="D203" s="27" t="n"/>
      <c r="E203" s="28" t="n"/>
      <c r="F203" s="31">
        <f>IF(B203=0,"-",B203-D203)</f>
        <v/>
      </c>
      <c r="G203" s="32">
        <f>IF(B203=0,"-",(B203-D203)/B203)</f>
        <v/>
      </c>
      <c r="H203" s="32">
        <f>IF(OR(B203=0,B202=0),"-",(B203-B202)/B202)</f>
        <v/>
      </c>
    </row>
    <row r="204" ht="17" customHeight="1">
      <c r="A204" s="26" t="n"/>
      <c r="B204" s="27" t="n"/>
      <c r="C204" s="28" t="n"/>
      <c r="D204" s="27" t="n"/>
      <c r="E204" s="28" t="n"/>
      <c r="F204" s="29">
        <f>IF(B204=0,"-",B204-D204)</f>
        <v/>
      </c>
      <c r="G204" s="30">
        <f>IF(B204=0,"-",(B204-D204)/B204)</f>
        <v/>
      </c>
      <c r="H204" s="30">
        <f>IF(OR(B204=0,B203=0),"-",(B204-B203)/B203)</f>
        <v/>
      </c>
    </row>
    <row r="205" ht="17" customHeight="1">
      <c r="A205" s="26" t="n"/>
      <c r="B205" s="27" t="n"/>
      <c r="C205" s="28" t="n"/>
      <c r="D205" s="27" t="n"/>
      <c r="E205" s="28" t="n"/>
      <c r="F205" s="31">
        <f>IF(B205=0,"-",B205-D205)</f>
        <v/>
      </c>
      <c r="G205" s="32">
        <f>IF(B205=0,"-",(B205-D205)/B205)</f>
        <v/>
      </c>
      <c r="H205" s="32">
        <f>IF(OR(B205=0,B204=0),"-",(B205-B204)/B204)</f>
        <v/>
      </c>
    </row>
    <row r="206" ht="17" customHeight="1">
      <c r="A206" s="26" t="n"/>
      <c r="B206" s="27" t="n"/>
      <c r="C206" s="28" t="n"/>
      <c r="D206" s="27" t="n"/>
      <c r="E206" s="28" t="n"/>
      <c r="F206" s="29">
        <f>IF(B206=0,"-",B206-D206)</f>
        <v/>
      </c>
      <c r="G206" s="30">
        <f>IF(B206=0,"-",(B206-D206)/B206)</f>
        <v/>
      </c>
      <c r="H206" s="30">
        <f>IF(OR(B206=0,B205=0),"-",(B206-B205)/B205)</f>
        <v/>
      </c>
    </row>
    <row r="207" ht="17" customHeight="1">
      <c r="A207" s="26" t="n"/>
      <c r="B207" s="27" t="n"/>
      <c r="C207" s="28" t="n"/>
      <c r="D207" s="27" t="n"/>
      <c r="E207" s="28" t="n"/>
      <c r="F207" s="31">
        <f>IF(B207=0,"-",B207-D207)</f>
        <v/>
      </c>
      <c r="G207" s="32">
        <f>IF(B207=0,"-",(B207-D207)/B207)</f>
        <v/>
      </c>
      <c r="H207" s="32">
        <f>IF(OR(B207=0,B206=0),"-",(B207-B206)/B206)</f>
        <v/>
      </c>
    </row>
    <row r="208" ht="17" customHeight="1">
      <c r="A208" s="26" t="n"/>
      <c r="B208" s="27" t="n"/>
      <c r="C208" s="28" t="n"/>
      <c r="D208" s="27" t="n"/>
      <c r="E208" s="28" t="n"/>
      <c r="F208" s="29">
        <f>IF(B208=0,"-",B208-D208)</f>
        <v/>
      </c>
      <c r="G208" s="30">
        <f>IF(B208=0,"-",(B208-D208)/B208)</f>
        <v/>
      </c>
      <c r="H208" s="30">
        <f>IF(OR(B208=0,B207=0),"-",(B208-B207)/B207)</f>
        <v/>
      </c>
    </row>
    <row r="209" ht="17" customHeight="1">
      <c r="A209" s="26" t="n"/>
      <c r="B209" s="27" t="n"/>
      <c r="C209" s="28" t="n"/>
      <c r="D209" s="27" t="n"/>
      <c r="E209" s="28" t="n"/>
      <c r="F209" s="31">
        <f>IF(B209=0,"-",B209-D209)</f>
        <v/>
      </c>
      <c r="G209" s="32">
        <f>IF(B209=0,"-",(B209-D209)/B209)</f>
        <v/>
      </c>
      <c r="H209" s="32">
        <f>IF(OR(B209=0,B208=0),"-",(B209-B208)/B208)</f>
        <v/>
      </c>
    </row>
    <row r="210" ht="17" customHeight="1">
      <c r="A210" s="26" t="n"/>
      <c r="B210" s="27" t="n"/>
      <c r="C210" s="28" t="n"/>
      <c r="D210" s="27" t="n"/>
      <c r="E210" s="28" t="n"/>
      <c r="F210" s="29">
        <f>IF(B210=0,"-",B210-D210)</f>
        <v/>
      </c>
      <c r="G210" s="30">
        <f>IF(B210=0,"-",(B210-D210)/B210)</f>
        <v/>
      </c>
      <c r="H210" s="30">
        <f>IF(OR(B210=0,B209=0),"-",(B210-B209)/B209)</f>
        <v/>
      </c>
    </row>
    <row r="211" ht="17" customHeight="1">
      <c r="A211" s="26" t="n"/>
      <c r="B211" s="27" t="n"/>
      <c r="C211" s="28" t="n"/>
      <c r="D211" s="27" t="n"/>
      <c r="E211" s="28" t="n"/>
      <c r="F211" s="31">
        <f>IF(B211=0,"-",B211-D211)</f>
        <v/>
      </c>
      <c r="G211" s="32">
        <f>IF(B211=0,"-",(B211-D211)/B211)</f>
        <v/>
      </c>
      <c r="H211" s="32">
        <f>IF(OR(B211=0,B210=0),"-",(B211-B210)/B210)</f>
        <v/>
      </c>
    </row>
    <row r="212" ht="17" customHeight="1">
      <c r="A212" s="26" t="n"/>
      <c r="B212" s="27" t="n"/>
      <c r="C212" s="28" t="n"/>
      <c r="D212" s="27" t="n"/>
      <c r="E212" s="28" t="n"/>
      <c r="F212" s="29">
        <f>IF(B212=0,"-",B212-D212)</f>
        <v/>
      </c>
      <c r="G212" s="30">
        <f>IF(B212=0,"-",(B212-D212)/B212)</f>
        <v/>
      </c>
      <c r="H212" s="30">
        <f>IF(OR(B212=0,B211=0),"-",(B212-B211)/B211)</f>
        <v/>
      </c>
    </row>
    <row r="213" ht="17" customHeight="1">
      <c r="A213" s="26" t="n"/>
      <c r="B213" s="27" t="n"/>
      <c r="C213" s="28" t="n"/>
      <c r="D213" s="27" t="n"/>
      <c r="E213" s="28" t="n"/>
      <c r="F213" s="31">
        <f>IF(B213=0,"-",B213-D213)</f>
        <v/>
      </c>
      <c r="G213" s="32">
        <f>IF(B213=0,"-",(B213-D213)/B213)</f>
        <v/>
      </c>
      <c r="H213" s="32">
        <f>IF(OR(B213=0,B212=0),"-",(B213-B212)/B212)</f>
        <v/>
      </c>
    </row>
    <row r="214" ht="17" customHeight="1">
      <c r="A214" s="26" t="n"/>
      <c r="B214" s="27" t="n"/>
      <c r="C214" s="28" t="n"/>
      <c r="D214" s="27" t="n"/>
      <c r="E214" s="28" t="n"/>
      <c r="F214" s="29">
        <f>IF(B214=0,"-",B214-D214)</f>
        <v/>
      </c>
      <c r="G214" s="30">
        <f>IF(B214=0,"-",(B214-D214)/B214)</f>
        <v/>
      </c>
      <c r="H214" s="30">
        <f>IF(OR(B214=0,B213=0),"-",(B214-B213)/B213)</f>
        <v/>
      </c>
    </row>
    <row r="215" ht="17" customHeight="1">
      <c r="A215" s="26" t="n"/>
      <c r="B215" s="27" t="n"/>
      <c r="C215" s="28" t="n"/>
      <c r="D215" s="27" t="n"/>
      <c r="E215" s="28" t="n"/>
      <c r="F215" s="31">
        <f>IF(B215=0,"-",B215-D215)</f>
        <v/>
      </c>
      <c r="G215" s="32">
        <f>IF(B215=0,"-",(B215-D215)/B215)</f>
        <v/>
      </c>
      <c r="H215" s="32">
        <f>IF(OR(B215=0,B214=0),"-",(B215-B214)/B214)</f>
        <v/>
      </c>
    </row>
    <row r="216" ht="17" customHeight="1">
      <c r="A216" s="26" t="n"/>
      <c r="B216" s="27" t="n"/>
      <c r="C216" s="28" t="n"/>
      <c r="D216" s="27" t="n"/>
      <c r="E216" s="28" t="n"/>
      <c r="F216" s="29">
        <f>IF(B216=0,"-",B216-D216)</f>
        <v/>
      </c>
      <c r="G216" s="30">
        <f>IF(B216=0,"-",(B216-D216)/B216)</f>
        <v/>
      </c>
      <c r="H216" s="30">
        <f>IF(OR(B216=0,B215=0),"-",(B216-B215)/B215)</f>
        <v/>
      </c>
    </row>
    <row r="217" ht="17" customHeight="1">
      <c r="A217" s="26" t="n"/>
      <c r="B217" s="27" t="n"/>
      <c r="C217" s="28" t="n"/>
      <c r="D217" s="27" t="n"/>
      <c r="E217" s="28" t="n"/>
      <c r="F217" s="31">
        <f>IF(B217=0,"-",B217-D217)</f>
        <v/>
      </c>
      <c r="G217" s="32">
        <f>IF(B217=0,"-",(B217-D217)/B217)</f>
        <v/>
      </c>
      <c r="H217" s="32">
        <f>IF(OR(B217=0,B216=0),"-",(B217-B216)/B216)</f>
        <v/>
      </c>
    </row>
    <row r="218" ht="17" customHeight="1">
      <c r="A218" s="26" t="n"/>
      <c r="B218" s="27" t="n"/>
      <c r="C218" s="28" t="n"/>
      <c r="D218" s="27" t="n"/>
      <c r="E218" s="28" t="n"/>
      <c r="F218" s="29">
        <f>IF(B218=0,"-",B218-D218)</f>
        <v/>
      </c>
      <c r="G218" s="30">
        <f>IF(B218=0,"-",(B218-D218)/B218)</f>
        <v/>
      </c>
      <c r="H218" s="30">
        <f>IF(OR(B218=0,B217=0),"-",(B218-B217)/B217)</f>
        <v/>
      </c>
    </row>
    <row r="219" ht="17" customHeight="1">
      <c r="A219" s="26" t="n"/>
      <c r="B219" s="27" t="n"/>
      <c r="C219" s="28" t="n"/>
      <c r="D219" s="27" t="n"/>
      <c r="E219" s="28" t="n"/>
      <c r="F219" s="31">
        <f>IF(B219=0,"-",B219-D219)</f>
        <v/>
      </c>
      <c r="G219" s="32">
        <f>IF(B219=0,"-",(B219-D219)/B219)</f>
        <v/>
      </c>
      <c r="H219" s="32">
        <f>IF(OR(B219=0,B218=0),"-",(B219-B218)/B218)</f>
        <v/>
      </c>
    </row>
    <row r="220" ht="17" customHeight="1">
      <c r="A220" s="26" t="n"/>
      <c r="B220" s="27" t="n"/>
      <c r="C220" s="28" t="n"/>
      <c r="D220" s="27" t="n"/>
      <c r="E220" s="28" t="n"/>
      <c r="F220" s="29">
        <f>IF(B220=0,"-",B220-D220)</f>
        <v/>
      </c>
      <c r="G220" s="30">
        <f>IF(B220=0,"-",(B220-D220)/B220)</f>
        <v/>
      </c>
      <c r="H220" s="30">
        <f>IF(OR(B220=0,B219=0),"-",(B220-B219)/B219)</f>
        <v/>
      </c>
    </row>
    <row r="221" ht="17" customHeight="1">
      <c r="A221" s="26" t="n"/>
      <c r="B221" s="27" t="n"/>
      <c r="C221" s="28" t="n"/>
      <c r="D221" s="27" t="n"/>
      <c r="E221" s="28" t="n"/>
      <c r="F221" s="31">
        <f>IF(B221=0,"-",B221-D221)</f>
        <v/>
      </c>
      <c r="G221" s="32">
        <f>IF(B221=0,"-",(B221-D221)/B221)</f>
        <v/>
      </c>
      <c r="H221" s="32">
        <f>IF(OR(B221=0,B220=0),"-",(B221-B220)/B220)</f>
        <v/>
      </c>
    </row>
    <row r="222" ht="17" customHeight="1">
      <c r="A222" s="26" t="n"/>
      <c r="B222" s="27" t="n"/>
      <c r="C222" s="28" t="n"/>
      <c r="D222" s="27" t="n"/>
      <c r="E222" s="28" t="n"/>
      <c r="F222" s="29">
        <f>IF(B222=0,"-",B222-D222)</f>
        <v/>
      </c>
      <c r="G222" s="30">
        <f>IF(B222=0,"-",(B222-D222)/B222)</f>
        <v/>
      </c>
      <c r="H222" s="30">
        <f>IF(OR(B222=0,B221=0),"-",(B222-B221)/B221)</f>
        <v/>
      </c>
    </row>
    <row r="223" ht="17" customHeight="1">
      <c r="A223" s="26" t="n"/>
      <c r="B223" s="27" t="n"/>
      <c r="C223" s="28" t="n"/>
      <c r="D223" s="27" t="n"/>
      <c r="E223" s="28" t="n"/>
      <c r="F223" s="31">
        <f>IF(B223=0,"-",B223-D223)</f>
        <v/>
      </c>
      <c r="G223" s="32">
        <f>IF(B223=0,"-",(B223-D223)/B223)</f>
        <v/>
      </c>
      <c r="H223" s="32">
        <f>IF(OR(B223=0,B222=0),"-",(B223-B222)/B222)</f>
        <v/>
      </c>
    </row>
    <row r="224" ht="17" customHeight="1">
      <c r="A224" s="26" t="n"/>
      <c r="B224" s="27" t="n"/>
      <c r="C224" s="28" t="n"/>
      <c r="D224" s="27" t="n"/>
      <c r="E224" s="28" t="n"/>
      <c r="F224" s="29">
        <f>IF(B224=0,"-",B224-D224)</f>
        <v/>
      </c>
      <c r="G224" s="30">
        <f>IF(B224=0,"-",(B224-D224)/B224)</f>
        <v/>
      </c>
      <c r="H224" s="30">
        <f>IF(OR(B224=0,B223=0),"-",(B224-B223)/B223)</f>
        <v/>
      </c>
    </row>
    <row r="225" ht="17" customHeight="1">
      <c r="A225" s="26" t="n"/>
      <c r="B225" s="27" t="n"/>
      <c r="C225" s="28" t="n"/>
      <c r="D225" s="27" t="n"/>
      <c r="E225" s="28" t="n"/>
      <c r="F225" s="31">
        <f>IF(B225=0,"-",B225-D225)</f>
        <v/>
      </c>
      <c r="G225" s="32">
        <f>IF(B225=0,"-",(B225-D225)/B225)</f>
        <v/>
      </c>
      <c r="H225" s="32">
        <f>IF(OR(B225=0,B224=0),"-",(B225-B224)/B224)</f>
        <v/>
      </c>
    </row>
    <row r="226" ht="17" customHeight="1">
      <c r="A226" s="26" t="n"/>
      <c r="B226" s="27" t="n"/>
      <c r="C226" s="28" t="n"/>
      <c r="D226" s="27" t="n"/>
      <c r="E226" s="28" t="n"/>
      <c r="F226" s="29">
        <f>IF(B226=0,"-",B226-D226)</f>
        <v/>
      </c>
      <c r="G226" s="30">
        <f>IF(B226=0,"-",(B226-D226)/B226)</f>
        <v/>
      </c>
      <c r="H226" s="30">
        <f>IF(OR(B226=0,B225=0),"-",(B226-B225)/B225)</f>
        <v/>
      </c>
    </row>
    <row r="227" ht="17" customHeight="1">
      <c r="A227" s="26" t="n"/>
      <c r="B227" s="27" t="n"/>
      <c r="C227" s="28" t="n"/>
      <c r="D227" s="27" t="n"/>
      <c r="E227" s="28" t="n"/>
      <c r="F227" s="31">
        <f>IF(B227=0,"-",B227-D227)</f>
        <v/>
      </c>
      <c r="G227" s="32">
        <f>IF(B227=0,"-",(B227-D227)/B227)</f>
        <v/>
      </c>
      <c r="H227" s="32">
        <f>IF(OR(B227=0,B226=0),"-",(B227-B226)/B226)</f>
        <v/>
      </c>
    </row>
    <row r="228" ht="17" customHeight="1">
      <c r="A228" s="26" t="n"/>
      <c r="B228" s="27" t="n"/>
      <c r="C228" s="28" t="n"/>
      <c r="D228" s="27" t="n"/>
      <c r="E228" s="28" t="n"/>
      <c r="F228" s="29">
        <f>IF(B228=0,"-",B228-D228)</f>
        <v/>
      </c>
      <c r="G228" s="30">
        <f>IF(B228=0,"-",(B228-D228)/B228)</f>
        <v/>
      </c>
      <c r="H228" s="30">
        <f>IF(OR(B228=0,B227=0),"-",(B228-B227)/B227)</f>
        <v/>
      </c>
    </row>
    <row r="229" ht="17" customHeight="1">
      <c r="A229" s="26" t="n"/>
      <c r="B229" s="27" t="n"/>
      <c r="C229" s="28" t="n"/>
      <c r="D229" s="27" t="n"/>
      <c r="E229" s="28" t="n"/>
      <c r="F229" s="31">
        <f>IF(B229=0,"-",B229-D229)</f>
        <v/>
      </c>
      <c r="G229" s="32">
        <f>IF(B229=0,"-",(B229-D229)/B229)</f>
        <v/>
      </c>
      <c r="H229" s="32">
        <f>IF(OR(B229=0,B228=0),"-",(B229-B228)/B228)</f>
        <v/>
      </c>
    </row>
    <row r="230" ht="17" customHeight="1">
      <c r="A230" s="26" t="n"/>
      <c r="B230" s="27" t="n"/>
      <c r="C230" s="28" t="n"/>
      <c r="D230" s="27" t="n"/>
      <c r="E230" s="28" t="n"/>
      <c r="F230" s="29">
        <f>IF(B230=0,"-",B230-D230)</f>
        <v/>
      </c>
      <c r="G230" s="30">
        <f>IF(B230=0,"-",(B230-D230)/B230)</f>
        <v/>
      </c>
      <c r="H230" s="30">
        <f>IF(OR(B230=0,B229=0),"-",(B230-B229)/B229)</f>
        <v/>
      </c>
    </row>
    <row r="231" ht="17" customHeight="1">
      <c r="A231" s="26" t="n"/>
      <c r="B231" s="27" t="n"/>
      <c r="C231" s="28" t="n"/>
      <c r="D231" s="27" t="n"/>
      <c r="E231" s="28" t="n"/>
      <c r="F231" s="31">
        <f>IF(B231=0,"-",B231-D231)</f>
        <v/>
      </c>
      <c r="G231" s="32">
        <f>IF(B231=0,"-",(B231-D231)/B231)</f>
        <v/>
      </c>
      <c r="H231" s="32">
        <f>IF(OR(B231=0,B230=0),"-",(B231-B230)/B230)</f>
        <v/>
      </c>
    </row>
    <row r="232" ht="17" customHeight="1">
      <c r="A232" s="26" t="n"/>
      <c r="B232" s="27" t="n"/>
      <c r="C232" s="28" t="n"/>
      <c r="D232" s="27" t="n"/>
      <c r="E232" s="28" t="n"/>
      <c r="F232" s="29">
        <f>IF(B232=0,"-",B232-D232)</f>
        <v/>
      </c>
      <c r="G232" s="30">
        <f>IF(B232=0,"-",(B232-D232)/B232)</f>
        <v/>
      </c>
      <c r="H232" s="30">
        <f>IF(OR(B232=0,B231=0),"-",(B232-B231)/B231)</f>
        <v/>
      </c>
    </row>
    <row r="233" ht="17" customHeight="1">
      <c r="A233" s="26" t="n"/>
      <c r="B233" s="27" t="n"/>
      <c r="C233" s="28" t="n"/>
      <c r="D233" s="27" t="n"/>
      <c r="E233" s="28" t="n"/>
      <c r="F233" s="31">
        <f>IF(B233=0,"-",B233-D233)</f>
        <v/>
      </c>
      <c r="G233" s="32">
        <f>IF(B233=0,"-",(B233-D233)/B233)</f>
        <v/>
      </c>
      <c r="H233" s="32">
        <f>IF(OR(B233=0,B232=0),"-",(B233-B232)/B232)</f>
        <v/>
      </c>
    </row>
    <row r="234" ht="17" customHeight="1">
      <c r="A234" s="26" t="n"/>
      <c r="B234" s="27" t="n"/>
      <c r="C234" s="28" t="n"/>
      <c r="D234" s="27" t="n"/>
      <c r="E234" s="28" t="n"/>
      <c r="F234" s="29">
        <f>IF(B234=0,"-",B234-D234)</f>
        <v/>
      </c>
      <c r="G234" s="30">
        <f>IF(B234=0,"-",(B234-D234)/B234)</f>
        <v/>
      </c>
      <c r="H234" s="30">
        <f>IF(OR(B234=0,B233=0),"-",(B234-B233)/B233)</f>
        <v/>
      </c>
    </row>
    <row r="235" ht="17" customHeight="1">
      <c r="A235" s="26" t="n"/>
      <c r="B235" s="27" t="n"/>
      <c r="C235" s="28" t="n"/>
      <c r="D235" s="27" t="n"/>
      <c r="E235" s="28" t="n"/>
      <c r="F235" s="31">
        <f>IF(B235=0,"-",B235-D235)</f>
        <v/>
      </c>
      <c r="G235" s="32">
        <f>IF(B235=0,"-",(B235-D235)/B235)</f>
        <v/>
      </c>
      <c r="H235" s="32">
        <f>IF(OR(B235=0,B234=0),"-",(B235-B234)/B234)</f>
        <v/>
      </c>
    </row>
    <row r="236" ht="17" customHeight="1">
      <c r="A236" s="26" t="n"/>
      <c r="B236" s="27" t="n"/>
      <c r="C236" s="28" t="n"/>
      <c r="D236" s="27" t="n"/>
      <c r="E236" s="28" t="n"/>
      <c r="F236" s="29">
        <f>IF(B236=0,"-",B236-D236)</f>
        <v/>
      </c>
      <c r="G236" s="30">
        <f>IF(B236=0,"-",(B236-D236)/B236)</f>
        <v/>
      </c>
      <c r="H236" s="30">
        <f>IF(OR(B236=0,B235=0),"-",(B236-B235)/B235)</f>
        <v/>
      </c>
    </row>
    <row r="237" ht="17" customHeight="1">
      <c r="A237" s="26" t="n"/>
      <c r="B237" s="27" t="n"/>
      <c r="C237" s="28" t="n"/>
      <c r="D237" s="27" t="n"/>
      <c r="E237" s="28" t="n"/>
      <c r="F237" s="31">
        <f>IF(B237=0,"-",B237-D237)</f>
        <v/>
      </c>
      <c r="G237" s="32">
        <f>IF(B237=0,"-",(B237-D237)/B237)</f>
        <v/>
      </c>
      <c r="H237" s="32">
        <f>IF(OR(B237=0,B236=0),"-",(B237-B236)/B236)</f>
        <v/>
      </c>
    </row>
    <row r="238" ht="17" customHeight="1">
      <c r="A238" s="26" t="n"/>
      <c r="B238" s="27" t="n"/>
      <c r="C238" s="28" t="n"/>
      <c r="D238" s="27" t="n"/>
      <c r="E238" s="28" t="n"/>
      <c r="F238" s="29">
        <f>IF(B238=0,"-",B238-D238)</f>
        <v/>
      </c>
      <c r="G238" s="30">
        <f>IF(B238=0,"-",(B238-D238)/B238)</f>
        <v/>
      </c>
      <c r="H238" s="30">
        <f>IF(OR(B238=0,B237=0),"-",(B238-B237)/B237)</f>
        <v/>
      </c>
    </row>
    <row r="239" ht="17" customHeight="1">
      <c r="A239" s="26" t="n"/>
      <c r="B239" s="27" t="n"/>
      <c r="C239" s="28" t="n"/>
      <c r="D239" s="27" t="n"/>
      <c r="E239" s="28" t="n"/>
      <c r="F239" s="31">
        <f>IF(B239=0,"-",B239-D239)</f>
        <v/>
      </c>
      <c r="G239" s="32">
        <f>IF(B239=0,"-",(B239-D239)/B239)</f>
        <v/>
      </c>
      <c r="H239" s="32">
        <f>IF(OR(B239=0,B238=0),"-",(B239-B238)/B238)</f>
        <v/>
      </c>
    </row>
    <row r="240" ht="17" customHeight="1">
      <c r="A240" s="26" t="n"/>
      <c r="B240" s="27" t="n"/>
      <c r="C240" s="28" t="n"/>
      <c r="D240" s="27" t="n"/>
      <c r="E240" s="28" t="n"/>
      <c r="F240" s="29">
        <f>IF(B240=0,"-",B240-D240)</f>
        <v/>
      </c>
      <c r="G240" s="30">
        <f>IF(B240=0,"-",(B240-D240)/B240)</f>
        <v/>
      </c>
      <c r="H240" s="30">
        <f>IF(OR(B240=0,B239=0),"-",(B240-B239)/B239)</f>
        <v/>
      </c>
    </row>
    <row r="241" ht="17" customHeight="1">
      <c r="A241" s="26" t="n"/>
      <c r="B241" s="27" t="n"/>
      <c r="C241" s="28" t="n"/>
      <c r="D241" s="27" t="n"/>
      <c r="E241" s="28" t="n"/>
      <c r="F241" s="31">
        <f>IF(B241=0,"-",B241-D241)</f>
        <v/>
      </c>
      <c r="G241" s="32">
        <f>IF(B241=0,"-",(B241-D241)/B241)</f>
        <v/>
      </c>
      <c r="H241" s="32">
        <f>IF(OR(B241=0,B240=0),"-",(B241-B240)/B240)</f>
        <v/>
      </c>
    </row>
    <row r="242" ht="17" customHeight="1">
      <c r="A242" s="26" t="n"/>
      <c r="B242" s="27" t="n"/>
      <c r="C242" s="28" t="n"/>
      <c r="D242" s="27" t="n"/>
      <c r="E242" s="28" t="n"/>
      <c r="F242" s="29">
        <f>IF(B242=0,"-",B242-D242)</f>
        <v/>
      </c>
      <c r="G242" s="30">
        <f>IF(B242=0,"-",(B242-D242)/B242)</f>
        <v/>
      </c>
      <c r="H242" s="30">
        <f>IF(OR(B242=0,B241=0),"-",(B242-B241)/B241)</f>
        <v/>
      </c>
    </row>
    <row r="243" ht="17" customHeight="1">
      <c r="A243" s="26" t="n"/>
      <c r="B243" s="27" t="n"/>
      <c r="C243" s="28" t="n"/>
      <c r="D243" s="27" t="n"/>
      <c r="E243" s="28" t="n"/>
      <c r="F243" s="31">
        <f>IF(B243=0,"-",B243-D243)</f>
        <v/>
      </c>
      <c r="G243" s="32">
        <f>IF(B243=0,"-",(B243-D243)/B243)</f>
        <v/>
      </c>
      <c r="H243" s="32">
        <f>IF(OR(B243=0,B242=0),"-",(B243-B242)/B242)</f>
        <v/>
      </c>
    </row>
    <row r="244" ht="17" customHeight="1">
      <c r="A244" s="26" t="n"/>
      <c r="B244" s="27" t="n"/>
      <c r="C244" s="28" t="n"/>
      <c r="D244" s="27" t="n"/>
      <c r="E244" s="28" t="n"/>
      <c r="F244" s="29">
        <f>IF(B244=0,"-",B244-D244)</f>
        <v/>
      </c>
      <c r="G244" s="30">
        <f>IF(B244=0,"-",(B244-D244)/B244)</f>
        <v/>
      </c>
      <c r="H244" s="30">
        <f>IF(OR(B244=0,B243=0),"-",(B244-B243)/B243)</f>
        <v/>
      </c>
    </row>
    <row r="245" ht="17" customHeight="1">
      <c r="A245" s="26" t="n"/>
      <c r="B245" s="27" t="n"/>
      <c r="C245" s="28" t="n"/>
      <c r="D245" s="27" t="n"/>
      <c r="E245" s="28" t="n"/>
      <c r="F245" s="31">
        <f>IF(B245=0,"-",B245-D245)</f>
        <v/>
      </c>
      <c r="G245" s="32">
        <f>IF(B245=0,"-",(B245-D245)/B245)</f>
        <v/>
      </c>
      <c r="H245" s="32">
        <f>IF(OR(B245=0,B244=0),"-",(B245-B244)/B244)</f>
        <v/>
      </c>
    </row>
    <row r="246" ht="17" customHeight="1">
      <c r="A246" s="26" t="n"/>
      <c r="B246" s="27" t="n"/>
      <c r="C246" s="28" t="n"/>
      <c r="D246" s="27" t="n"/>
      <c r="E246" s="28" t="n"/>
      <c r="F246" s="29">
        <f>IF(B246=0,"-",B246-D246)</f>
        <v/>
      </c>
      <c r="G246" s="30">
        <f>IF(B246=0,"-",(B246-D246)/B246)</f>
        <v/>
      </c>
      <c r="H246" s="30">
        <f>IF(OR(B246=0,B245=0),"-",(B246-B245)/B245)</f>
        <v/>
      </c>
    </row>
    <row r="247" ht="17" customHeight="1">
      <c r="A247" s="26" t="n"/>
      <c r="B247" s="27" t="n"/>
      <c r="C247" s="28" t="n"/>
      <c r="D247" s="27" t="n"/>
      <c r="E247" s="28" t="n"/>
      <c r="F247" s="31">
        <f>IF(B247=0,"-",B247-D247)</f>
        <v/>
      </c>
      <c r="G247" s="32">
        <f>IF(B247=0,"-",(B247-D247)/B247)</f>
        <v/>
      </c>
      <c r="H247" s="32">
        <f>IF(OR(B247=0,B246=0),"-",(B247-B246)/B246)</f>
        <v/>
      </c>
    </row>
    <row r="248" ht="17" customHeight="1">
      <c r="A248" s="26" t="n"/>
      <c r="B248" s="27" t="n"/>
      <c r="C248" s="28" t="n"/>
      <c r="D248" s="27" t="n"/>
      <c r="E248" s="28" t="n"/>
      <c r="F248" s="29">
        <f>IF(B248=0,"-",B248-D248)</f>
        <v/>
      </c>
      <c r="G248" s="30">
        <f>IF(B248=0,"-",(B248-D248)/B248)</f>
        <v/>
      </c>
      <c r="H248" s="30">
        <f>IF(OR(B248=0,B247=0),"-",(B248-B247)/B247)</f>
        <v/>
      </c>
    </row>
    <row r="249" ht="17" customHeight="1">
      <c r="A249" s="26" t="n"/>
      <c r="B249" s="27" t="n"/>
      <c r="C249" s="28" t="n"/>
      <c r="D249" s="27" t="n"/>
      <c r="E249" s="28" t="n"/>
      <c r="F249" s="31">
        <f>IF(B249=0,"-",B249-D249)</f>
        <v/>
      </c>
      <c r="G249" s="32">
        <f>IF(B249=0,"-",(B249-D249)/B249)</f>
        <v/>
      </c>
      <c r="H249" s="32">
        <f>IF(OR(B249=0,B248=0),"-",(B249-B248)/B248)</f>
        <v/>
      </c>
    </row>
    <row r="250" ht="17" customHeight="1">
      <c r="A250" s="26" t="n"/>
      <c r="B250" s="27" t="n"/>
      <c r="C250" s="28" t="n"/>
      <c r="D250" s="27" t="n"/>
      <c r="E250" s="28" t="n"/>
      <c r="F250" s="29">
        <f>IF(B250=0,"-",B250-D250)</f>
        <v/>
      </c>
      <c r="G250" s="30">
        <f>IF(B250=0,"-",(B250-D250)/B250)</f>
        <v/>
      </c>
      <c r="H250" s="30">
        <f>IF(OR(B250=0,B249=0),"-",(B250-B249)/B249)</f>
        <v/>
      </c>
    </row>
    <row r="251" ht="17" customHeight="1">
      <c r="A251" s="26" t="n"/>
      <c r="B251" s="27" t="n"/>
      <c r="C251" s="28" t="n"/>
      <c r="D251" s="27" t="n"/>
      <c r="E251" s="28" t="n"/>
      <c r="F251" s="31">
        <f>IF(B251=0,"-",B251-D251)</f>
        <v/>
      </c>
      <c r="G251" s="32">
        <f>IF(B251=0,"-",(B251-D251)/B251)</f>
        <v/>
      </c>
      <c r="H251" s="32">
        <f>IF(OR(B251=0,B250=0),"-",(B251-B250)/B250)</f>
        <v/>
      </c>
    </row>
    <row r="252" ht="17" customHeight="1">
      <c r="A252" s="26" t="n"/>
      <c r="B252" s="27" t="n"/>
      <c r="C252" s="28" t="n"/>
      <c r="D252" s="27" t="n"/>
      <c r="E252" s="28" t="n"/>
      <c r="F252" s="29">
        <f>IF(B252=0,"-",B252-D252)</f>
        <v/>
      </c>
      <c r="G252" s="30">
        <f>IF(B252=0,"-",(B252-D252)/B252)</f>
        <v/>
      </c>
      <c r="H252" s="30">
        <f>IF(OR(B252=0,B251=0),"-",(B252-B251)/B251)</f>
        <v/>
      </c>
    </row>
    <row r="253" ht="17" customHeight="1">
      <c r="A253" s="26" t="n"/>
      <c r="B253" s="27" t="n"/>
      <c r="C253" s="28" t="n"/>
      <c r="D253" s="27" t="n"/>
      <c r="E253" s="28" t="n"/>
      <c r="F253" s="31">
        <f>IF(B253=0,"-",B253-D253)</f>
        <v/>
      </c>
      <c r="G253" s="32">
        <f>IF(B253=0,"-",(B253-D253)/B253)</f>
        <v/>
      </c>
      <c r="H253" s="32">
        <f>IF(OR(B253=0,B252=0),"-",(B253-B252)/B252)</f>
        <v/>
      </c>
    </row>
    <row r="254" ht="17" customHeight="1">
      <c r="A254" s="26" t="n"/>
      <c r="B254" s="27" t="n"/>
      <c r="C254" s="28" t="n"/>
      <c r="D254" s="27" t="n"/>
      <c r="E254" s="28" t="n"/>
      <c r="F254" s="29">
        <f>IF(B254=0,"-",B254-D254)</f>
        <v/>
      </c>
      <c r="G254" s="30">
        <f>IF(B254=0,"-",(B254-D254)/B254)</f>
        <v/>
      </c>
      <c r="H254" s="30">
        <f>IF(OR(B254=0,B253=0),"-",(B254-B253)/B253)</f>
        <v/>
      </c>
    </row>
    <row r="255" ht="17" customHeight="1">
      <c r="A255" s="26" t="n"/>
      <c r="B255" s="27" t="n"/>
      <c r="C255" s="28" t="n"/>
      <c r="D255" s="27" t="n"/>
      <c r="E255" s="28" t="n"/>
      <c r="F255" s="31">
        <f>IF(B255=0,"-",B255-D255)</f>
        <v/>
      </c>
      <c r="G255" s="32">
        <f>IF(B255=0,"-",(B255-D255)/B255)</f>
        <v/>
      </c>
      <c r="H255" s="32">
        <f>IF(OR(B255=0,B254=0),"-",(B255-B254)/B254)</f>
        <v/>
      </c>
    </row>
    <row r="256" ht="17" customHeight="1">
      <c r="A256" s="26" t="n"/>
      <c r="B256" s="27" t="n"/>
      <c r="C256" s="28" t="n"/>
      <c r="D256" s="27" t="n"/>
      <c r="E256" s="28" t="n"/>
      <c r="F256" s="29">
        <f>IF(B256=0,"-",B256-D256)</f>
        <v/>
      </c>
      <c r="G256" s="30">
        <f>IF(B256=0,"-",(B256-D256)/B256)</f>
        <v/>
      </c>
      <c r="H256" s="30">
        <f>IF(OR(B256=0,B255=0),"-",(B256-B255)/B255)</f>
        <v/>
      </c>
    </row>
    <row r="257" ht="17" customHeight="1">
      <c r="A257" s="26" t="n"/>
      <c r="B257" s="27" t="n"/>
      <c r="C257" s="28" t="n"/>
      <c r="D257" s="27" t="n"/>
      <c r="E257" s="28" t="n"/>
      <c r="F257" s="31">
        <f>IF(B257=0,"-",B257-D257)</f>
        <v/>
      </c>
      <c r="G257" s="32">
        <f>IF(B257=0,"-",(B257-D257)/B257)</f>
        <v/>
      </c>
      <c r="H257" s="32">
        <f>IF(OR(B257=0,B256=0),"-",(B257-B256)/B256)</f>
        <v/>
      </c>
    </row>
    <row r="258" ht="17" customHeight="1">
      <c r="A258" s="26" t="n"/>
      <c r="B258" s="27" t="n"/>
      <c r="C258" s="28" t="n"/>
      <c r="D258" s="27" t="n"/>
      <c r="E258" s="28" t="n"/>
      <c r="F258" s="29">
        <f>IF(B258=0,"-",B258-D258)</f>
        <v/>
      </c>
      <c r="G258" s="30">
        <f>IF(B258=0,"-",(B258-D258)/B258)</f>
        <v/>
      </c>
      <c r="H258" s="30">
        <f>IF(OR(B258=0,B257=0),"-",(B258-B257)/B257)</f>
        <v/>
      </c>
    </row>
    <row r="259" ht="17" customHeight="1">
      <c r="A259" s="26" t="n"/>
      <c r="B259" s="27" t="n"/>
      <c r="C259" s="28" t="n"/>
      <c r="D259" s="27" t="n"/>
      <c r="E259" s="28" t="n"/>
      <c r="F259" s="31">
        <f>IF(B259=0,"-",B259-D259)</f>
        <v/>
      </c>
      <c r="G259" s="32">
        <f>IF(B259=0,"-",(B259-D259)/B259)</f>
        <v/>
      </c>
      <c r="H259" s="32">
        <f>IF(OR(B259=0,B258=0),"-",(B259-B258)/B258)</f>
        <v/>
      </c>
    </row>
    <row r="260" ht="17" customHeight="1">
      <c r="A260" s="26" t="n"/>
      <c r="B260" s="27" t="n"/>
      <c r="C260" s="28" t="n"/>
      <c r="D260" s="27" t="n"/>
      <c r="E260" s="28" t="n"/>
      <c r="F260" s="29">
        <f>IF(B260=0,"-",B260-D260)</f>
        <v/>
      </c>
      <c r="G260" s="30">
        <f>IF(B260=0,"-",(B260-D260)/B260)</f>
        <v/>
      </c>
      <c r="H260" s="30">
        <f>IF(OR(B260=0,B259=0),"-",(B260-B259)/B259)</f>
        <v/>
      </c>
    </row>
    <row r="261" ht="17" customHeight="1">
      <c r="A261" s="26" t="n"/>
      <c r="B261" s="27" t="n"/>
      <c r="C261" s="28" t="n"/>
      <c r="D261" s="27" t="n"/>
      <c r="E261" s="28" t="n"/>
      <c r="F261" s="31">
        <f>IF(B261=0,"-",B261-D261)</f>
        <v/>
      </c>
      <c r="G261" s="32">
        <f>IF(B261=0,"-",(B261-D261)/B261)</f>
        <v/>
      </c>
      <c r="H261" s="32">
        <f>IF(OR(B261=0,B260=0),"-",(B261-B260)/B260)</f>
        <v/>
      </c>
    </row>
    <row r="262" ht="17" customHeight="1">
      <c r="A262" s="26" t="n"/>
      <c r="B262" s="27" t="n"/>
      <c r="C262" s="28" t="n"/>
      <c r="D262" s="27" t="n"/>
      <c r="E262" s="28" t="n"/>
      <c r="F262" s="29">
        <f>IF(B262=0,"-",B262-D262)</f>
        <v/>
      </c>
      <c r="G262" s="30">
        <f>IF(B262=0,"-",(B262-D262)/B262)</f>
        <v/>
      </c>
      <c r="H262" s="30">
        <f>IF(OR(B262=0,B261=0),"-",(B262-B261)/B261)</f>
        <v/>
      </c>
    </row>
    <row r="263" ht="17" customHeight="1">
      <c r="A263" s="26" t="n"/>
      <c r="B263" s="27" t="n"/>
      <c r="C263" s="28" t="n"/>
      <c r="D263" s="27" t="n"/>
      <c r="E263" s="28" t="n"/>
      <c r="F263" s="31">
        <f>IF(B263=0,"-",B263-D263)</f>
        <v/>
      </c>
      <c r="G263" s="32">
        <f>IF(B263=0,"-",(B263-D263)/B263)</f>
        <v/>
      </c>
      <c r="H263" s="32">
        <f>IF(OR(B263=0,B262=0),"-",(B263-B262)/B262)</f>
        <v/>
      </c>
    </row>
    <row r="264" ht="17" customHeight="1">
      <c r="A264" s="26" t="n"/>
      <c r="B264" s="27" t="n"/>
      <c r="C264" s="28" t="n"/>
      <c r="D264" s="27" t="n"/>
      <c r="E264" s="28" t="n"/>
      <c r="F264" s="29">
        <f>IF(B264=0,"-",B264-D264)</f>
        <v/>
      </c>
      <c r="G264" s="30">
        <f>IF(B264=0,"-",(B264-D264)/B264)</f>
        <v/>
      </c>
      <c r="H264" s="30">
        <f>IF(OR(B264=0,B263=0),"-",(B264-B263)/B263)</f>
        <v/>
      </c>
    </row>
    <row r="265" ht="17" customHeight="1">
      <c r="A265" s="26" t="n"/>
      <c r="B265" s="27" t="n"/>
      <c r="C265" s="28" t="n"/>
      <c r="D265" s="27" t="n"/>
      <c r="E265" s="28" t="n"/>
      <c r="F265" s="31">
        <f>IF(B265=0,"-",B265-D265)</f>
        <v/>
      </c>
      <c r="G265" s="32">
        <f>IF(B265=0,"-",(B265-D265)/B265)</f>
        <v/>
      </c>
      <c r="H265" s="32">
        <f>IF(OR(B265=0,B264=0),"-",(B265-B264)/B264)</f>
        <v/>
      </c>
    </row>
    <row r="266" ht="17" customHeight="1">
      <c r="A266" s="26" t="n"/>
      <c r="B266" s="27" t="n"/>
      <c r="C266" s="28" t="n"/>
      <c r="D266" s="27" t="n"/>
      <c r="E266" s="28" t="n"/>
      <c r="F266" s="29">
        <f>IF(B266=0,"-",B266-D266)</f>
        <v/>
      </c>
      <c r="G266" s="30">
        <f>IF(B266=0,"-",(B266-D266)/B266)</f>
        <v/>
      </c>
      <c r="H266" s="30">
        <f>IF(OR(B266=0,B265=0),"-",(B266-B265)/B265)</f>
        <v/>
      </c>
    </row>
    <row r="267" ht="17" customHeight="1">
      <c r="A267" s="26" t="n"/>
      <c r="B267" s="27" t="n"/>
      <c r="C267" s="28" t="n"/>
      <c r="D267" s="27" t="n"/>
      <c r="E267" s="28" t="n"/>
      <c r="F267" s="31">
        <f>IF(B267=0,"-",B267-D267)</f>
        <v/>
      </c>
      <c r="G267" s="32">
        <f>IF(B267=0,"-",(B267-D267)/B267)</f>
        <v/>
      </c>
      <c r="H267" s="32">
        <f>IF(OR(B267=0,B266=0),"-",(B267-B266)/B266)</f>
        <v/>
      </c>
    </row>
    <row r="268" ht="17" customHeight="1">
      <c r="A268" s="26" t="n"/>
      <c r="B268" s="27" t="n"/>
      <c r="C268" s="28" t="n"/>
      <c r="D268" s="27" t="n"/>
      <c r="E268" s="28" t="n"/>
      <c r="F268" s="29">
        <f>IF(B268=0,"-",B268-D268)</f>
        <v/>
      </c>
      <c r="G268" s="30">
        <f>IF(B268=0,"-",(B268-D268)/B268)</f>
        <v/>
      </c>
      <c r="H268" s="30">
        <f>IF(OR(B268=0,B267=0),"-",(B268-B267)/B267)</f>
        <v/>
      </c>
    </row>
    <row r="269" ht="17" customHeight="1">
      <c r="A269" s="26" t="n"/>
      <c r="B269" s="27" t="n"/>
      <c r="C269" s="28" t="n"/>
      <c r="D269" s="27" t="n"/>
      <c r="E269" s="28" t="n"/>
      <c r="F269" s="31">
        <f>IF(B269=0,"-",B269-D269)</f>
        <v/>
      </c>
      <c r="G269" s="32">
        <f>IF(B269=0,"-",(B269-D269)/B269)</f>
        <v/>
      </c>
      <c r="H269" s="32">
        <f>IF(OR(B269=0,B268=0),"-",(B269-B268)/B268)</f>
        <v/>
      </c>
    </row>
    <row r="270" ht="17" customHeight="1">
      <c r="A270" s="26" t="n"/>
      <c r="B270" s="27" t="n"/>
      <c r="C270" s="28" t="n"/>
      <c r="D270" s="27" t="n"/>
      <c r="E270" s="28" t="n"/>
      <c r="F270" s="29">
        <f>IF(B270=0,"-",B270-D270)</f>
        <v/>
      </c>
      <c r="G270" s="30">
        <f>IF(B270=0,"-",(B270-D270)/B270)</f>
        <v/>
      </c>
      <c r="H270" s="30">
        <f>IF(OR(B270=0,B269=0),"-",(B270-B269)/B269)</f>
        <v/>
      </c>
    </row>
    <row r="271" ht="17" customHeight="1">
      <c r="A271" s="26" t="n"/>
      <c r="B271" s="27" t="n"/>
      <c r="C271" s="28" t="n"/>
      <c r="D271" s="27" t="n"/>
      <c r="E271" s="28" t="n"/>
      <c r="F271" s="31">
        <f>IF(B271=0,"-",B271-D271)</f>
        <v/>
      </c>
      <c r="G271" s="32">
        <f>IF(B271=0,"-",(B271-D271)/B271)</f>
        <v/>
      </c>
      <c r="H271" s="32">
        <f>IF(OR(B271=0,B270=0),"-",(B271-B270)/B270)</f>
        <v/>
      </c>
    </row>
    <row r="272" ht="17" customHeight="1">
      <c r="A272" s="26" t="n"/>
      <c r="B272" s="27" t="n"/>
      <c r="C272" s="28" t="n"/>
      <c r="D272" s="27" t="n"/>
      <c r="E272" s="28" t="n"/>
      <c r="F272" s="29">
        <f>IF(B272=0,"-",B272-D272)</f>
        <v/>
      </c>
      <c r="G272" s="30">
        <f>IF(B272=0,"-",(B272-D272)/B272)</f>
        <v/>
      </c>
      <c r="H272" s="30">
        <f>IF(OR(B272=0,B271=0),"-",(B272-B271)/B271)</f>
        <v/>
      </c>
    </row>
    <row r="273" ht="17" customHeight="1">
      <c r="A273" s="26" t="n"/>
      <c r="B273" s="27" t="n"/>
      <c r="C273" s="28" t="n"/>
      <c r="D273" s="27" t="n"/>
      <c r="E273" s="28" t="n"/>
      <c r="F273" s="31">
        <f>IF(B273=0,"-",B273-D273)</f>
        <v/>
      </c>
      <c r="G273" s="32">
        <f>IF(B273=0,"-",(B273-D273)/B273)</f>
        <v/>
      </c>
      <c r="H273" s="32">
        <f>IF(OR(B273=0,B272=0),"-",(B273-B272)/B272)</f>
        <v/>
      </c>
    </row>
    <row r="274" ht="17" customHeight="1">
      <c r="A274" s="26" t="n"/>
      <c r="B274" s="27" t="n"/>
      <c r="C274" s="28" t="n"/>
      <c r="D274" s="27" t="n"/>
      <c r="E274" s="28" t="n"/>
      <c r="F274" s="29">
        <f>IF(B274=0,"-",B274-D274)</f>
        <v/>
      </c>
      <c r="G274" s="30">
        <f>IF(B274=0,"-",(B274-D274)/B274)</f>
        <v/>
      </c>
      <c r="H274" s="30">
        <f>IF(OR(B274=0,B273=0),"-",(B274-B273)/B273)</f>
        <v/>
      </c>
    </row>
    <row r="275" ht="17" customHeight="1">
      <c r="A275" s="26" t="n"/>
      <c r="B275" s="27" t="n"/>
      <c r="C275" s="28" t="n"/>
      <c r="D275" s="27" t="n"/>
      <c r="E275" s="28" t="n"/>
      <c r="F275" s="31">
        <f>IF(B275=0,"-",B275-D275)</f>
        <v/>
      </c>
      <c r="G275" s="32">
        <f>IF(B275=0,"-",(B275-D275)/B275)</f>
        <v/>
      </c>
      <c r="H275" s="32">
        <f>IF(OR(B275=0,B274=0),"-",(B275-B274)/B274)</f>
        <v/>
      </c>
    </row>
    <row r="276" ht="17" customHeight="1">
      <c r="A276" s="26" t="n"/>
      <c r="B276" s="27" t="n"/>
      <c r="C276" s="28" t="n"/>
      <c r="D276" s="27" t="n"/>
      <c r="E276" s="28" t="n"/>
      <c r="F276" s="29">
        <f>IF(B276=0,"-",B276-D276)</f>
        <v/>
      </c>
      <c r="G276" s="30">
        <f>IF(B276=0,"-",(B276-D276)/B276)</f>
        <v/>
      </c>
      <c r="H276" s="30">
        <f>IF(OR(B276=0,B275=0),"-",(B276-B275)/B275)</f>
        <v/>
      </c>
    </row>
    <row r="277" ht="17" customHeight="1">
      <c r="A277" s="26" t="n"/>
      <c r="B277" s="27" t="n"/>
      <c r="C277" s="28" t="n"/>
      <c r="D277" s="27" t="n"/>
      <c r="E277" s="28" t="n"/>
      <c r="F277" s="31">
        <f>IF(B277=0,"-",B277-D277)</f>
        <v/>
      </c>
      <c r="G277" s="32">
        <f>IF(B277=0,"-",(B277-D277)/B277)</f>
        <v/>
      </c>
      <c r="H277" s="32">
        <f>IF(OR(B277=0,B276=0),"-",(B277-B276)/B276)</f>
        <v/>
      </c>
    </row>
    <row r="278" ht="17" customHeight="1">
      <c r="A278" s="26" t="n"/>
      <c r="B278" s="27" t="n"/>
      <c r="C278" s="28" t="n"/>
      <c r="D278" s="27" t="n"/>
      <c r="E278" s="28" t="n"/>
      <c r="F278" s="29">
        <f>IF(B278=0,"-",B278-D278)</f>
        <v/>
      </c>
      <c r="G278" s="30">
        <f>IF(B278=0,"-",(B278-D278)/B278)</f>
        <v/>
      </c>
      <c r="H278" s="30">
        <f>IF(OR(B278=0,B277=0),"-",(B278-B277)/B277)</f>
        <v/>
      </c>
    </row>
    <row r="279" ht="17" customHeight="1">
      <c r="A279" s="26" t="n"/>
      <c r="B279" s="27" t="n"/>
      <c r="C279" s="28" t="n"/>
      <c r="D279" s="27" t="n"/>
      <c r="E279" s="28" t="n"/>
      <c r="F279" s="31">
        <f>IF(B279=0,"-",B279-D279)</f>
        <v/>
      </c>
      <c r="G279" s="32">
        <f>IF(B279=0,"-",(B279-D279)/B279)</f>
        <v/>
      </c>
      <c r="H279" s="32">
        <f>IF(OR(B279=0,B278=0),"-",(B279-B278)/B278)</f>
        <v/>
      </c>
    </row>
    <row r="280" ht="17" customHeight="1">
      <c r="A280" s="26" t="n"/>
      <c r="B280" s="27" t="n"/>
      <c r="C280" s="28" t="n"/>
      <c r="D280" s="27" t="n"/>
      <c r="E280" s="28" t="n"/>
      <c r="F280" s="29">
        <f>IF(B280=0,"-",B280-D280)</f>
        <v/>
      </c>
      <c r="G280" s="30">
        <f>IF(B280=0,"-",(B280-D280)/B280)</f>
        <v/>
      </c>
      <c r="H280" s="30">
        <f>IF(OR(B280=0,B279=0),"-",(B280-B279)/B279)</f>
        <v/>
      </c>
    </row>
    <row r="281" ht="17" customHeight="1">
      <c r="A281" s="26" t="n"/>
      <c r="B281" s="27" t="n"/>
      <c r="C281" s="28" t="n"/>
      <c r="D281" s="27" t="n"/>
      <c r="E281" s="28" t="n"/>
      <c r="F281" s="31">
        <f>IF(B281=0,"-",B281-D281)</f>
        <v/>
      </c>
      <c r="G281" s="32">
        <f>IF(B281=0,"-",(B281-D281)/B281)</f>
        <v/>
      </c>
      <c r="H281" s="32">
        <f>IF(OR(B281=0,B280=0),"-",(B281-B280)/B280)</f>
        <v/>
      </c>
    </row>
    <row r="282" ht="17" customHeight="1">
      <c r="A282" s="26" t="n"/>
      <c r="B282" s="27" t="n"/>
      <c r="C282" s="28" t="n"/>
      <c r="D282" s="27" t="n"/>
      <c r="E282" s="28" t="n"/>
      <c r="F282" s="29">
        <f>IF(B282=0,"-",B282-D282)</f>
        <v/>
      </c>
      <c r="G282" s="30">
        <f>IF(B282=0,"-",(B282-D282)/B282)</f>
        <v/>
      </c>
      <c r="H282" s="30">
        <f>IF(OR(B282=0,B281=0),"-",(B282-B281)/B281)</f>
        <v/>
      </c>
    </row>
    <row r="283" ht="17" customHeight="1">
      <c r="A283" s="26" t="n"/>
      <c r="B283" s="27" t="n"/>
      <c r="C283" s="28" t="n"/>
      <c r="D283" s="27" t="n"/>
      <c r="E283" s="28" t="n"/>
      <c r="F283" s="31">
        <f>IF(B283=0,"-",B283-D283)</f>
        <v/>
      </c>
      <c r="G283" s="32">
        <f>IF(B283=0,"-",(B283-D283)/B283)</f>
        <v/>
      </c>
      <c r="H283" s="32">
        <f>IF(OR(B283=0,B282=0),"-",(B283-B282)/B282)</f>
        <v/>
      </c>
    </row>
    <row r="284" ht="17" customHeight="1">
      <c r="A284" s="26" t="n"/>
      <c r="B284" s="27" t="n"/>
      <c r="C284" s="28" t="n"/>
      <c r="D284" s="27" t="n"/>
      <c r="E284" s="28" t="n"/>
      <c r="F284" s="29">
        <f>IF(B284=0,"-",B284-D284)</f>
        <v/>
      </c>
      <c r="G284" s="30">
        <f>IF(B284=0,"-",(B284-D284)/B284)</f>
        <v/>
      </c>
      <c r="H284" s="30">
        <f>IF(OR(B284=0,B283=0),"-",(B284-B283)/B283)</f>
        <v/>
      </c>
    </row>
    <row r="285" ht="17" customHeight="1">
      <c r="A285" s="26" t="n"/>
      <c r="B285" s="27" t="n"/>
      <c r="C285" s="28" t="n"/>
      <c r="D285" s="27" t="n"/>
      <c r="E285" s="28" t="n"/>
      <c r="F285" s="31">
        <f>IF(B285=0,"-",B285-D285)</f>
        <v/>
      </c>
      <c r="G285" s="32">
        <f>IF(B285=0,"-",(B285-D285)/B285)</f>
        <v/>
      </c>
      <c r="H285" s="32">
        <f>IF(OR(B285=0,B284=0),"-",(B285-B284)/B284)</f>
        <v/>
      </c>
    </row>
    <row r="286" ht="17" customHeight="1">
      <c r="A286" s="26" t="n"/>
      <c r="B286" s="27" t="n"/>
      <c r="C286" s="28" t="n"/>
      <c r="D286" s="27" t="n"/>
      <c r="E286" s="28" t="n"/>
      <c r="F286" s="29">
        <f>IF(B286=0,"-",B286-D286)</f>
        <v/>
      </c>
      <c r="G286" s="30">
        <f>IF(B286=0,"-",(B286-D286)/B286)</f>
        <v/>
      </c>
      <c r="H286" s="30">
        <f>IF(OR(B286=0,B285=0),"-",(B286-B285)/B285)</f>
        <v/>
      </c>
    </row>
    <row r="287" ht="17" customHeight="1">
      <c r="A287" s="26" t="n"/>
      <c r="B287" s="27" t="n"/>
      <c r="C287" s="28" t="n"/>
      <c r="D287" s="27" t="n"/>
      <c r="E287" s="28" t="n"/>
      <c r="F287" s="31">
        <f>IF(B287=0,"-",B287-D287)</f>
        <v/>
      </c>
      <c r="G287" s="32">
        <f>IF(B287=0,"-",(B287-D287)/B287)</f>
        <v/>
      </c>
      <c r="H287" s="32">
        <f>IF(OR(B287=0,B286=0),"-",(B287-B286)/B286)</f>
        <v/>
      </c>
    </row>
    <row r="288" ht="17" customHeight="1">
      <c r="A288" s="26" t="n"/>
      <c r="B288" s="27" t="n"/>
      <c r="C288" s="28" t="n"/>
      <c r="D288" s="27" t="n"/>
      <c r="E288" s="28" t="n"/>
      <c r="F288" s="29">
        <f>IF(B288=0,"-",B288-D288)</f>
        <v/>
      </c>
      <c r="G288" s="30">
        <f>IF(B288=0,"-",(B288-D288)/B288)</f>
        <v/>
      </c>
      <c r="H288" s="30">
        <f>IF(OR(B288=0,B287=0),"-",(B288-B287)/B287)</f>
        <v/>
      </c>
    </row>
    <row r="289" ht="17" customHeight="1">
      <c r="A289" s="26" t="n"/>
      <c r="B289" s="27" t="n"/>
      <c r="C289" s="28" t="n"/>
      <c r="D289" s="27" t="n"/>
      <c r="E289" s="28" t="n"/>
      <c r="F289" s="31">
        <f>IF(B289=0,"-",B289-D289)</f>
        <v/>
      </c>
      <c r="G289" s="32">
        <f>IF(B289=0,"-",(B289-D289)/B289)</f>
        <v/>
      </c>
      <c r="H289" s="32">
        <f>IF(OR(B289=0,B288=0),"-",(B289-B288)/B288)</f>
        <v/>
      </c>
    </row>
    <row r="290" ht="17" customHeight="1">
      <c r="A290" s="26" t="n"/>
      <c r="B290" s="27" t="n"/>
      <c r="C290" s="28" t="n"/>
      <c r="D290" s="27" t="n"/>
      <c r="E290" s="28" t="n"/>
      <c r="F290" s="29">
        <f>IF(B290=0,"-",B290-D290)</f>
        <v/>
      </c>
      <c r="G290" s="30">
        <f>IF(B290=0,"-",(B290-D290)/B290)</f>
        <v/>
      </c>
      <c r="H290" s="30">
        <f>IF(OR(B290=0,B289=0),"-",(B290-B289)/B289)</f>
        <v/>
      </c>
    </row>
    <row r="291" ht="17" customHeight="1">
      <c r="A291" s="26" t="n"/>
      <c r="B291" s="27" t="n"/>
      <c r="C291" s="28" t="n"/>
      <c r="D291" s="27" t="n"/>
      <c r="E291" s="28" t="n"/>
      <c r="F291" s="31">
        <f>IF(B291=0,"-",B291-D291)</f>
        <v/>
      </c>
      <c r="G291" s="32">
        <f>IF(B291=0,"-",(B291-D291)/B291)</f>
        <v/>
      </c>
      <c r="H291" s="32">
        <f>IF(OR(B291=0,B290=0),"-",(B291-B290)/B290)</f>
        <v/>
      </c>
    </row>
    <row r="292" ht="17" customHeight="1">
      <c r="A292" s="26" t="n"/>
      <c r="B292" s="27" t="n"/>
      <c r="C292" s="28" t="n"/>
      <c r="D292" s="27" t="n"/>
      <c r="E292" s="28" t="n"/>
      <c r="F292" s="29">
        <f>IF(B292=0,"-",B292-D292)</f>
        <v/>
      </c>
      <c r="G292" s="30">
        <f>IF(B292=0,"-",(B292-D292)/B292)</f>
        <v/>
      </c>
      <c r="H292" s="30">
        <f>IF(OR(B292=0,B291=0),"-",(B292-B291)/B291)</f>
        <v/>
      </c>
    </row>
    <row r="293" ht="17" customHeight="1">
      <c r="A293" s="26" t="n"/>
      <c r="B293" s="27" t="n"/>
      <c r="C293" s="28" t="n"/>
      <c r="D293" s="27" t="n"/>
      <c r="E293" s="28" t="n"/>
      <c r="F293" s="31">
        <f>IF(B293=0,"-",B293-D293)</f>
        <v/>
      </c>
      <c r="G293" s="32">
        <f>IF(B293=0,"-",(B293-D293)/B293)</f>
        <v/>
      </c>
      <c r="H293" s="32">
        <f>IF(OR(B293=0,B292=0),"-",(B293-B292)/B292)</f>
        <v/>
      </c>
    </row>
    <row r="294" ht="17" customHeight="1">
      <c r="A294" s="26" t="n"/>
      <c r="B294" s="27" t="n"/>
      <c r="C294" s="28" t="n"/>
      <c r="D294" s="27" t="n"/>
      <c r="E294" s="28" t="n"/>
      <c r="F294" s="29">
        <f>IF(B294=0,"-",B294-D294)</f>
        <v/>
      </c>
      <c r="G294" s="30">
        <f>IF(B294=0,"-",(B294-D294)/B294)</f>
        <v/>
      </c>
      <c r="H294" s="30">
        <f>IF(OR(B294=0,B293=0),"-",(B294-B293)/B293)</f>
        <v/>
      </c>
    </row>
    <row r="295" ht="17" customHeight="1">
      <c r="A295" s="26" t="n"/>
      <c r="B295" s="27" t="n"/>
      <c r="C295" s="28" t="n"/>
      <c r="D295" s="27" t="n"/>
      <c r="E295" s="28" t="n"/>
      <c r="F295" s="31">
        <f>IF(B295=0,"-",B295-D295)</f>
        <v/>
      </c>
      <c r="G295" s="32">
        <f>IF(B295=0,"-",(B295-D295)/B295)</f>
        <v/>
      </c>
      <c r="H295" s="32">
        <f>IF(OR(B295=0,B294=0),"-",(B295-B294)/B294)</f>
        <v/>
      </c>
    </row>
    <row r="296" ht="17" customHeight="1">
      <c r="A296" s="26" t="n"/>
      <c r="B296" s="27" t="n"/>
      <c r="C296" s="28" t="n"/>
      <c r="D296" s="27" t="n"/>
      <c r="E296" s="28" t="n"/>
      <c r="F296" s="29">
        <f>IF(B296=0,"-",B296-D296)</f>
        <v/>
      </c>
      <c r="G296" s="30">
        <f>IF(B296=0,"-",(B296-D296)/B296)</f>
        <v/>
      </c>
      <c r="H296" s="30">
        <f>IF(OR(B296=0,B295=0),"-",(B296-B295)/B295)</f>
        <v/>
      </c>
    </row>
    <row r="297" ht="17" customHeight="1">
      <c r="A297" s="26" t="n"/>
      <c r="B297" s="27" t="n"/>
      <c r="C297" s="28" t="n"/>
      <c r="D297" s="27" t="n"/>
      <c r="E297" s="28" t="n"/>
      <c r="F297" s="31">
        <f>IF(B297=0,"-",B297-D297)</f>
        <v/>
      </c>
      <c r="G297" s="32">
        <f>IF(B297=0,"-",(B297-D297)/B297)</f>
        <v/>
      </c>
      <c r="H297" s="32">
        <f>IF(OR(B297=0,B296=0),"-",(B297-B296)/B296)</f>
        <v/>
      </c>
    </row>
    <row r="298" ht="17" customHeight="1">
      <c r="A298" s="26" t="n"/>
      <c r="B298" s="27" t="n"/>
      <c r="C298" s="28" t="n"/>
      <c r="D298" s="27" t="n"/>
      <c r="E298" s="28" t="n"/>
      <c r="F298" s="29">
        <f>IF(B298=0,"-",B298-D298)</f>
        <v/>
      </c>
      <c r="G298" s="30">
        <f>IF(B298=0,"-",(B298-D298)/B298)</f>
        <v/>
      </c>
      <c r="H298" s="30">
        <f>IF(OR(B298=0,B297=0),"-",(B298-B297)/B297)</f>
        <v/>
      </c>
    </row>
    <row r="299" ht="17" customHeight="1">
      <c r="A299" s="26" t="n"/>
      <c r="B299" s="27" t="n"/>
      <c r="C299" s="28" t="n"/>
      <c r="D299" s="27" t="n"/>
      <c r="E299" s="28" t="n"/>
      <c r="F299" s="31">
        <f>IF(B299=0,"-",B299-D299)</f>
        <v/>
      </c>
      <c r="G299" s="32">
        <f>IF(B299=0,"-",(B299-D299)/B299)</f>
        <v/>
      </c>
      <c r="H299" s="32">
        <f>IF(OR(B299=0,B298=0),"-",(B299-B298)/B298)</f>
        <v/>
      </c>
    </row>
    <row r="300" ht="17" customHeight="1">
      <c r="A300" s="26" t="n"/>
      <c r="B300" s="27" t="n"/>
      <c r="C300" s="28" t="n"/>
      <c r="D300" s="27" t="n"/>
      <c r="E300" s="28" t="n"/>
      <c r="F300" s="29">
        <f>IF(B300=0,"-",B300-D300)</f>
        <v/>
      </c>
      <c r="G300" s="30">
        <f>IF(B300=0,"-",(B300-D300)/B300)</f>
        <v/>
      </c>
      <c r="H300" s="30">
        <f>IF(OR(B300=0,B299=0),"-",(B300-B299)/B299)</f>
        <v/>
      </c>
    </row>
    <row r="301" ht="17" customHeight="1">
      <c r="A301" s="26" t="n"/>
      <c r="B301" s="27" t="n"/>
      <c r="C301" s="28" t="n"/>
      <c r="D301" s="27" t="n"/>
      <c r="E301" s="28" t="n"/>
      <c r="F301" s="31">
        <f>IF(B301=0,"-",B301-D301)</f>
        <v/>
      </c>
      <c r="G301" s="32">
        <f>IF(B301=0,"-",(B301-D301)/B301)</f>
        <v/>
      </c>
      <c r="H301" s="32">
        <f>IF(OR(B301=0,B300=0),"-",(B301-B300)/B300)</f>
        <v/>
      </c>
    </row>
    <row r="302" ht="17" customHeight="1">
      <c r="A302" s="26" t="n"/>
      <c r="B302" s="27" t="n"/>
      <c r="C302" s="28" t="n"/>
      <c r="D302" s="27" t="n"/>
      <c r="E302" s="28" t="n"/>
      <c r="F302" s="29">
        <f>IF(B302=0,"-",B302-D302)</f>
        <v/>
      </c>
      <c r="G302" s="30">
        <f>IF(B302=0,"-",(B302-D302)/B302)</f>
        <v/>
      </c>
      <c r="H302" s="30">
        <f>IF(OR(B302=0,B301=0),"-",(B302-B301)/B301)</f>
        <v/>
      </c>
    </row>
    <row r="303" ht="17" customHeight="1">
      <c r="A303" s="26" t="n"/>
      <c r="B303" s="27" t="n"/>
      <c r="C303" s="28" t="n"/>
      <c r="D303" s="27" t="n"/>
      <c r="E303" s="28" t="n"/>
      <c r="F303" s="31">
        <f>IF(B303=0,"-",B303-D303)</f>
        <v/>
      </c>
      <c r="G303" s="32">
        <f>IF(B303=0,"-",(B303-D303)/B303)</f>
        <v/>
      </c>
      <c r="H303" s="32">
        <f>IF(OR(B303=0,B302=0),"-",(B303-B302)/B302)</f>
        <v/>
      </c>
    </row>
    <row r="304" ht="17" customHeight="1">
      <c r="A304" s="26" t="n"/>
      <c r="B304" s="27" t="n"/>
      <c r="C304" s="28" t="n"/>
      <c r="D304" s="27" t="n"/>
      <c r="E304" s="28" t="n"/>
      <c r="F304" s="29">
        <f>IF(B304=0,"-",B304-D304)</f>
        <v/>
      </c>
      <c r="G304" s="30">
        <f>IF(B304=0,"-",(B304-D304)/B304)</f>
        <v/>
      </c>
      <c r="H304" s="30">
        <f>IF(OR(B304=0,B303=0),"-",(B304-B303)/B303)</f>
        <v/>
      </c>
    </row>
    <row r="305" ht="17" customHeight="1">
      <c r="A305" s="26" t="n"/>
      <c r="B305" s="27" t="n"/>
      <c r="C305" s="28" t="n"/>
      <c r="D305" s="27" t="n"/>
      <c r="E305" s="28" t="n"/>
      <c r="F305" s="31">
        <f>IF(B305=0,"-",B305-D305)</f>
        <v/>
      </c>
      <c r="G305" s="32">
        <f>IF(B305=0,"-",(B305-D305)/B305)</f>
        <v/>
      </c>
      <c r="H305" s="32">
        <f>IF(OR(B305=0,B304=0),"-",(B305-B304)/B304)</f>
        <v/>
      </c>
    </row>
    <row r="306" ht="17" customHeight="1">
      <c r="A306" s="26" t="n"/>
      <c r="B306" s="27" t="n"/>
      <c r="C306" s="28" t="n"/>
      <c r="D306" s="27" t="n"/>
      <c r="E306" s="28" t="n"/>
      <c r="F306" s="29">
        <f>IF(B306=0,"-",B306-D306)</f>
        <v/>
      </c>
      <c r="G306" s="30">
        <f>IF(B306=0,"-",(B306-D306)/B306)</f>
        <v/>
      </c>
      <c r="H306" s="30">
        <f>IF(OR(B306=0,B305=0),"-",(B306-B305)/B305)</f>
        <v/>
      </c>
    </row>
    <row r="307" ht="17" customHeight="1">
      <c r="A307" s="26" t="n"/>
      <c r="B307" s="27" t="n"/>
      <c r="C307" s="28" t="n"/>
      <c r="D307" s="27" t="n"/>
      <c r="E307" s="28" t="n"/>
      <c r="F307" s="31">
        <f>IF(B307=0,"-",B307-D307)</f>
        <v/>
      </c>
      <c r="G307" s="32">
        <f>IF(B307=0,"-",(B307-D307)/B307)</f>
        <v/>
      </c>
      <c r="H307" s="32">
        <f>IF(OR(B307=0,B306=0),"-",(B307-B306)/B306)</f>
        <v/>
      </c>
    </row>
    <row r="308" ht="17" customHeight="1">
      <c r="A308" s="26" t="n"/>
      <c r="B308" s="27" t="n"/>
      <c r="C308" s="28" t="n"/>
      <c r="D308" s="27" t="n"/>
      <c r="E308" s="28" t="n"/>
      <c r="F308" s="29">
        <f>IF(B308=0,"-",B308-D308)</f>
        <v/>
      </c>
      <c r="G308" s="30">
        <f>IF(B308=0,"-",(B308-D308)/B308)</f>
        <v/>
      </c>
      <c r="H308" s="30">
        <f>IF(OR(B308=0,B307=0),"-",(B308-B307)/B307)</f>
        <v/>
      </c>
    </row>
    <row r="309" ht="17" customHeight="1">
      <c r="A309" s="26" t="n"/>
      <c r="B309" s="27" t="n"/>
      <c r="C309" s="28" t="n"/>
      <c r="D309" s="27" t="n"/>
      <c r="E309" s="28" t="n"/>
      <c r="F309" s="31">
        <f>IF(B309=0,"-",B309-D309)</f>
        <v/>
      </c>
      <c r="G309" s="32">
        <f>IF(B309=0,"-",(B309-D309)/B309)</f>
        <v/>
      </c>
      <c r="H309" s="32">
        <f>IF(OR(B309=0,B308=0),"-",(B309-B308)/B308)</f>
        <v/>
      </c>
    </row>
    <row r="310" ht="17" customHeight="1">
      <c r="A310" s="26" t="n"/>
      <c r="B310" s="27" t="n"/>
      <c r="C310" s="28" t="n"/>
      <c r="D310" s="27" t="n"/>
      <c r="E310" s="28" t="n"/>
      <c r="F310" s="29">
        <f>IF(B310=0,"-",B310-D310)</f>
        <v/>
      </c>
      <c r="G310" s="30">
        <f>IF(B310=0,"-",(B310-D310)/B310)</f>
        <v/>
      </c>
      <c r="H310" s="30">
        <f>IF(OR(B310=0,B309=0),"-",(B310-B309)/B309)</f>
        <v/>
      </c>
    </row>
    <row r="311" ht="17" customHeight="1">
      <c r="A311" s="26" t="n"/>
      <c r="B311" s="27" t="n"/>
      <c r="C311" s="28" t="n"/>
      <c r="D311" s="27" t="n"/>
      <c r="E311" s="28" t="n"/>
      <c r="F311" s="31">
        <f>IF(B311=0,"-",B311-D311)</f>
        <v/>
      </c>
      <c r="G311" s="32">
        <f>IF(B311=0,"-",(B311-D311)/B311)</f>
        <v/>
      </c>
      <c r="H311" s="32">
        <f>IF(OR(B311=0,B310=0),"-",(B311-B310)/B310)</f>
        <v/>
      </c>
    </row>
    <row r="312" ht="17" customHeight="1">
      <c r="A312" s="26" t="n"/>
      <c r="B312" s="27" t="n"/>
      <c r="C312" s="28" t="n"/>
      <c r="D312" s="27" t="n"/>
      <c r="E312" s="28" t="n"/>
      <c r="F312" s="29">
        <f>IF(B312=0,"-",B312-D312)</f>
        <v/>
      </c>
      <c r="G312" s="30">
        <f>IF(B312=0,"-",(B312-D312)/B312)</f>
        <v/>
      </c>
      <c r="H312" s="30">
        <f>IF(OR(B312=0,B311=0),"-",(B312-B311)/B311)</f>
        <v/>
      </c>
    </row>
    <row r="313" ht="17" customHeight="1">
      <c r="A313" s="26" t="n"/>
      <c r="B313" s="27" t="n"/>
      <c r="C313" s="28" t="n"/>
      <c r="D313" s="27" t="n"/>
      <c r="E313" s="28" t="n"/>
      <c r="F313" s="31">
        <f>IF(B313=0,"-",B313-D313)</f>
        <v/>
      </c>
      <c r="G313" s="32">
        <f>IF(B313=0,"-",(B313-D313)/B313)</f>
        <v/>
      </c>
      <c r="H313" s="32">
        <f>IF(OR(B313=0,B312=0),"-",(B313-B312)/B312)</f>
        <v/>
      </c>
    </row>
    <row r="314" ht="17" customHeight="1">
      <c r="A314" s="26" t="n"/>
      <c r="B314" s="27" t="n"/>
      <c r="C314" s="28" t="n"/>
      <c r="D314" s="27" t="n"/>
      <c r="E314" s="28" t="n"/>
      <c r="F314" s="29">
        <f>IF(B314=0,"-",B314-D314)</f>
        <v/>
      </c>
      <c r="G314" s="30">
        <f>IF(B314=0,"-",(B314-D314)/B314)</f>
        <v/>
      </c>
      <c r="H314" s="30">
        <f>IF(OR(B314=0,B313=0),"-",(B314-B313)/B313)</f>
        <v/>
      </c>
    </row>
    <row r="315" ht="17" customHeight="1">
      <c r="A315" s="26" t="n"/>
      <c r="B315" s="27" t="n"/>
      <c r="C315" s="28" t="n"/>
      <c r="D315" s="27" t="n"/>
      <c r="E315" s="28" t="n"/>
      <c r="F315" s="31">
        <f>IF(B315=0,"-",B315-D315)</f>
        <v/>
      </c>
      <c r="G315" s="32">
        <f>IF(B315=0,"-",(B315-D315)/B315)</f>
        <v/>
      </c>
      <c r="H315" s="32">
        <f>IF(OR(B315=0,B314=0),"-",(B315-B314)/B314)</f>
        <v/>
      </c>
    </row>
    <row r="316" ht="17" customHeight="1">
      <c r="A316" s="26" t="n"/>
      <c r="B316" s="27" t="n"/>
      <c r="C316" s="28" t="n"/>
      <c r="D316" s="27" t="n"/>
      <c r="E316" s="28" t="n"/>
      <c r="F316" s="29">
        <f>IF(B316=0,"-",B316-D316)</f>
        <v/>
      </c>
      <c r="G316" s="30">
        <f>IF(B316=0,"-",(B316-D316)/B316)</f>
        <v/>
      </c>
      <c r="H316" s="30">
        <f>IF(OR(B316=0,B315=0),"-",(B316-B315)/B315)</f>
        <v/>
      </c>
    </row>
    <row r="317" ht="17" customHeight="1">
      <c r="A317" s="26" t="n"/>
      <c r="B317" s="27" t="n"/>
      <c r="C317" s="28" t="n"/>
      <c r="D317" s="27" t="n"/>
      <c r="E317" s="28" t="n"/>
      <c r="F317" s="31">
        <f>IF(B317=0,"-",B317-D317)</f>
        <v/>
      </c>
      <c r="G317" s="32">
        <f>IF(B317=0,"-",(B317-D317)/B317)</f>
        <v/>
      </c>
      <c r="H317" s="32">
        <f>IF(OR(B317=0,B316=0),"-",(B317-B316)/B316)</f>
        <v/>
      </c>
    </row>
    <row r="318" ht="17" customHeight="1">
      <c r="A318" s="26" t="n"/>
      <c r="B318" s="27" t="n"/>
      <c r="C318" s="28" t="n"/>
      <c r="D318" s="27" t="n"/>
      <c r="E318" s="28" t="n"/>
      <c r="F318" s="29">
        <f>IF(B318=0,"-",B318-D318)</f>
        <v/>
      </c>
      <c r="G318" s="30">
        <f>IF(B318=0,"-",(B318-D318)/B318)</f>
        <v/>
      </c>
      <c r="H318" s="30">
        <f>IF(OR(B318=0,B317=0),"-",(B318-B317)/B317)</f>
        <v/>
      </c>
    </row>
    <row r="319" ht="17" customHeight="1">
      <c r="A319" s="26" t="n"/>
      <c r="B319" s="27" t="n"/>
      <c r="C319" s="28" t="n"/>
      <c r="D319" s="27" t="n"/>
      <c r="E319" s="28" t="n"/>
      <c r="F319" s="31">
        <f>IF(B319=0,"-",B319-D319)</f>
        <v/>
      </c>
      <c r="G319" s="32">
        <f>IF(B319=0,"-",(B319-D319)/B319)</f>
        <v/>
      </c>
      <c r="H319" s="32">
        <f>IF(OR(B319=0,B318=0),"-",(B319-B318)/B318)</f>
        <v/>
      </c>
    </row>
    <row r="320" ht="17" customHeight="1">
      <c r="A320" s="26" t="n"/>
      <c r="B320" s="27" t="n"/>
      <c r="C320" s="28" t="n"/>
      <c r="D320" s="27" t="n"/>
      <c r="E320" s="28" t="n"/>
      <c r="F320" s="29">
        <f>IF(B320=0,"-",B320-D320)</f>
        <v/>
      </c>
      <c r="G320" s="30">
        <f>IF(B320=0,"-",(B320-D320)/B320)</f>
        <v/>
      </c>
      <c r="H320" s="30">
        <f>IF(OR(B320=0,B319=0),"-",(B320-B319)/B319)</f>
        <v/>
      </c>
    </row>
    <row r="321" ht="17" customHeight="1">
      <c r="A321" s="26" t="n"/>
      <c r="B321" s="27" t="n"/>
      <c r="C321" s="28" t="n"/>
      <c r="D321" s="27" t="n"/>
      <c r="E321" s="28" t="n"/>
      <c r="F321" s="31">
        <f>IF(B321=0,"-",B321-D321)</f>
        <v/>
      </c>
      <c r="G321" s="32">
        <f>IF(B321=0,"-",(B321-D321)/B321)</f>
        <v/>
      </c>
      <c r="H321" s="32">
        <f>IF(OR(B321=0,B320=0),"-",(B321-B320)/B320)</f>
        <v/>
      </c>
    </row>
    <row r="322" ht="17" customHeight="1">
      <c r="A322" s="26" t="n"/>
      <c r="B322" s="27" t="n"/>
      <c r="C322" s="28" t="n"/>
      <c r="D322" s="27" t="n"/>
      <c r="E322" s="28" t="n"/>
      <c r="F322" s="29">
        <f>IF(B322=0,"-",B322-D322)</f>
        <v/>
      </c>
      <c r="G322" s="30">
        <f>IF(B322=0,"-",(B322-D322)/B322)</f>
        <v/>
      </c>
      <c r="H322" s="30">
        <f>IF(OR(B322=0,B321=0),"-",(B322-B321)/B321)</f>
        <v/>
      </c>
    </row>
    <row r="323" ht="17" customHeight="1">
      <c r="A323" s="26" t="n"/>
      <c r="B323" s="27" t="n"/>
      <c r="C323" s="28" t="n"/>
      <c r="D323" s="27" t="n"/>
      <c r="E323" s="28" t="n"/>
      <c r="F323" s="31">
        <f>IF(B323=0,"-",B323-D323)</f>
        <v/>
      </c>
      <c r="G323" s="32">
        <f>IF(B323=0,"-",(B323-D323)/B323)</f>
        <v/>
      </c>
      <c r="H323" s="32">
        <f>IF(OR(B323=0,B322=0),"-",(B323-B322)/B322)</f>
        <v/>
      </c>
    </row>
    <row r="324" ht="17" customHeight="1">
      <c r="A324" s="26" t="n"/>
      <c r="B324" s="27" t="n"/>
      <c r="C324" s="28" t="n"/>
      <c r="D324" s="27" t="n"/>
      <c r="E324" s="28" t="n"/>
      <c r="F324" s="29">
        <f>IF(B324=0,"-",B324-D324)</f>
        <v/>
      </c>
      <c r="G324" s="30">
        <f>IF(B324=0,"-",(B324-D324)/B324)</f>
        <v/>
      </c>
      <c r="H324" s="30">
        <f>IF(OR(B324=0,B323=0),"-",(B324-B323)/B323)</f>
        <v/>
      </c>
    </row>
    <row r="325" ht="17" customHeight="1">
      <c r="A325" s="26" t="n"/>
      <c r="B325" s="27" t="n"/>
      <c r="C325" s="28" t="n"/>
      <c r="D325" s="27" t="n"/>
      <c r="E325" s="28" t="n"/>
      <c r="F325" s="31">
        <f>IF(B325=0,"-",B325-D325)</f>
        <v/>
      </c>
      <c r="G325" s="32">
        <f>IF(B325=0,"-",(B325-D325)/B325)</f>
        <v/>
      </c>
      <c r="H325" s="32">
        <f>IF(OR(B325=0,B324=0),"-",(B325-B324)/B324)</f>
        <v/>
      </c>
    </row>
    <row r="326" ht="17" customHeight="1">
      <c r="A326" s="26" t="n"/>
      <c r="B326" s="27" t="n"/>
      <c r="C326" s="28" t="n"/>
      <c r="D326" s="27" t="n"/>
      <c r="E326" s="28" t="n"/>
      <c r="F326" s="29">
        <f>IF(B326=0,"-",B326-D326)</f>
        <v/>
      </c>
      <c r="G326" s="30">
        <f>IF(B326=0,"-",(B326-D326)/B326)</f>
        <v/>
      </c>
      <c r="H326" s="30">
        <f>IF(OR(B326=0,B325=0),"-",(B326-B325)/B325)</f>
        <v/>
      </c>
    </row>
    <row r="327" ht="17" customHeight="1">
      <c r="A327" s="26" t="n"/>
      <c r="B327" s="27" t="n"/>
      <c r="C327" s="28" t="n"/>
      <c r="D327" s="27" t="n"/>
      <c r="E327" s="28" t="n"/>
      <c r="F327" s="31">
        <f>IF(B327=0,"-",B327-D327)</f>
        <v/>
      </c>
      <c r="G327" s="32">
        <f>IF(B327=0,"-",(B327-D327)/B327)</f>
        <v/>
      </c>
      <c r="H327" s="32">
        <f>IF(OR(B327=0,B326=0),"-",(B327-B326)/B326)</f>
        <v/>
      </c>
    </row>
    <row r="328" ht="17" customHeight="1">
      <c r="A328" s="26" t="n"/>
      <c r="B328" s="27" t="n"/>
      <c r="C328" s="28" t="n"/>
      <c r="D328" s="27" t="n"/>
      <c r="E328" s="28" t="n"/>
      <c r="F328" s="29">
        <f>IF(B328=0,"-",B328-D328)</f>
        <v/>
      </c>
      <c r="G328" s="30">
        <f>IF(B328=0,"-",(B328-D328)/B328)</f>
        <v/>
      </c>
      <c r="H328" s="30">
        <f>IF(OR(B328=0,B327=0),"-",(B328-B327)/B327)</f>
        <v/>
      </c>
    </row>
    <row r="329" ht="17" customHeight="1">
      <c r="A329" s="26" t="n"/>
      <c r="B329" s="27" t="n"/>
      <c r="C329" s="28" t="n"/>
      <c r="D329" s="27" t="n"/>
      <c r="E329" s="28" t="n"/>
      <c r="F329" s="31">
        <f>IF(B329=0,"-",B329-D329)</f>
        <v/>
      </c>
      <c r="G329" s="32">
        <f>IF(B329=0,"-",(B329-D329)/B329)</f>
        <v/>
      </c>
      <c r="H329" s="32">
        <f>IF(OR(B329=0,B328=0),"-",(B329-B328)/B328)</f>
        <v/>
      </c>
    </row>
    <row r="330" ht="17" customHeight="1">
      <c r="A330" s="26" t="n"/>
      <c r="B330" s="27" t="n"/>
      <c r="C330" s="28" t="n"/>
      <c r="D330" s="27" t="n"/>
      <c r="E330" s="28" t="n"/>
      <c r="F330" s="29">
        <f>IF(B330=0,"-",B330-D330)</f>
        <v/>
      </c>
      <c r="G330" s="30">
        <f>IF(B330=0,"-",(B330-D330)/B330)</f>
        <v/>
      </c>
      <c r="H330" s="30">
        <f>IF(OR(B330=0,B329=0),"-",(B330-B329)/B329)</f>
        <v/>
      </c>
    </row>
    <row r="331" ht="17" customHeight="1">
      <c r="A331" s="26" t="n"/>
      <c r="B331" s="27" t="n"/>
      <c r="C331" s="28" t="n"/>
      <c r="D331" s="27" t="n"/>
      <c r="E331" s="28" t="n"/>
      <c r="F331" s="31">
        <f>IF(B331=0,"-",B331-D331)</f>
        <v/>
      </c>
      <c r="G331" s="32">
        <f>IF(B331=0,"-",(B331-D331)/B331)</f>
        <v/>
      </c>
      <c r="H331" s="32">
        <f>IF(OR(B331=0,B330=0),"-",(B331-B330)/B330)</f>
        <v/>
      </c>
    </row>
    <row r="332" ht="17" customHeight="1">
      <c r="A332" s="26" t="n"/>
      <c r="B332" s="27" t="n"/>
      <c r="C332" s="28" t="n"/>
      <c r="D332" s="27" t="n"/>
      <c r="E332" s="28" t="n"/>
      <c r="F332" s="29">
        <f>IF(B332=0,"-",B332-D332)</f>
        <v/>
      </c>
      <c r="G332" s="30">
        <f>IF(B332=0,"-",(B332-D332)/B332)</f>
        <v/>
      </c>
      <c r="H332" s="30">
        <f>IF(OR(B332=0,B331=0),"-",(B332-B331)/B331)</f>
        <v/>
      </c>
    </row>
    <row r="333" ht="17" customHeight="1">
      <c r="A333" s="26" t="n"/>
      <c r="B333" s="27" t="n"/>
      <c r="C333" s="28" t="n"/>
      <c r="D333" s="27" t="n"/>
      <c r="E333" s="28" t="n"/>
      <c r="F333" s="31">
        <f>IF(B333=0,"-",B333-D333)</f>
        <v/>
      </c>
      <c r="G333" s="32">
        <f>IF(B333=0,"-",(B333-D333)/B333)</f>
        <v/>
      </c>
      <c r="H333" s="32">
        <f>IF(OR(B333=0,B332=0),"-",(B333-B332)/B332)</f>
        <v/>
      </c>
    </row>
    <row r="334" ht="17" customHeight="1">
      <c r="A334" s="26" t="n"/>
      <c r="B334" s="27" t="n"/>
      <c r="C334" s="28" t="n"/>
      <c r="D334" s="27" t="n"/>
      <c r="E334" s="28" t="n"/>
      <c r="F334" s="29">
        <f>IF(B334=0,"-",B334-D334)</f>
        <v/>
      </c>
      <c r="G334" s="30">
        <f>IF(B334=0,"-",(B334-D334)/B334)</f>
        <v/>
      </c>
      <c r="H334" s="30">
        <f>IF(OR(B334=0,B333=0),"-",(B334-B333)/B333)</f>
        <v/>
      </c>
    </row>
    <row r="335" ht="17" customHeight="1">
      <c r="A335" s="26" t="n"/>
      <c r="B335" s="27" t="n"/>
      <c r="C335" s="28" t="n"/>
      <c r="D335" s="27" t="n"/>
      <c r="E335" s="28" t="n"/>
      <c r="F335" s="31">
        <f>IF(B335=0,"-",B335-D335)</f>
        <v/>
      </c>
      <c r="G335" s="32">
        <f>IF(B335=0,"-",(B335-D335)/B335)</f>
        <v/>
      </c>
      <c r="H335" s="32">
        <f>IF(OR(B335=0,B334=0),"-",(B335-B334)/B334)</f>
        <v/>
      </c>
    </row>
    <row r="336" ht="17" customHeight="1">
      <c r="A336" s="26" t="n"/>
      <c r="B336" s="27" t="n"/>
      <c r="C336" s="28" t="n"/>
      <c r="D336" s="27" t="n"/>
      <c r="E336" s="28" t="n"/>
      <c r="F336" s="29">
        <f>IF(B336=0,"-",B336-D336)</f>
        <v/>
      </c>
      <c r="G336" s="30">
        <f>IF(B336=0,"-",(B336-D336)/B336)</f>
        <v/>
      </c>
      <c r="H336" s="30">
        <f>IF(OR(B336=0,B335=0),"-",(B336-B335)/B335)</f>
        <v/>
      </c>
    </row>
    <row r="337" ht="17" customHeight="1">
      <c r="A337" s="26" t="n"/>
      <c r="B337" s="27" t="n"/>
      <c r="C337" s="28" t="n"/>
      <c r="D337" s="27" t="n"/>
      <c r="E337" s="28" t="n"/>
      <c r="F337" s="31">
        <f>IF(B337=0,"-",B337-D337)</f>
        <v/>
      </c>
      <c r="G337" s="32">
        <f>IF(B337=0,"-",(B337-D337)/B337)</f>
        <v/>
      </c>
      <c r="H337" s="32">
        <f>IF(OR(B337=0,B336=0),"-",(B337-B336)/B336)</f>
        <v/>
      </c>
    </row>
    <row r="338" ht="17" customHeight="1">
      <c r="A338" s="26" t="n"/>
      <c r="B338" s="27" t="n"/>
      <c r="C338" s="28" t="n"/>
      <c r="D338" s="27" t="n"/>
      <c r="E338" s="28" t="n"/>
      <c r="F338" s="29">
        <f>IF(B338=0,"-",B338-D338)</f>
        <v/>
      </c>
      <c r="G338" s="30">
        <f>IF(B338=0,"-",(B338-D338)/B338)</f>
        <v/>
      </c>
      <c r="H338" s="30">
        <f>IF(OR(B338=0,B337=0),"-",(B338-B337)/B337)</f>
        <v/>
      </c>
    </row>
    <row r="339" ht="17" customHeight="1">
      <c r="A339" s="26" t="n"/>
      <c r="B339" s="27" t="n"/>
      <c r="C339" s="28" t="n"/>
      <c r="D339" s="27" t="n"/>
      <c r="E339" s="28" t="n"/>
      <c r="F339" s="31">
        <f>IF(B339=0,"-",B339-D339)</f>
        <v/>
      </c>
      <c r="G339" s="32">
        <f>IF(B339=0,"-",(B339-D339)/B339)</f>
        <v/>
      </c>
      <c r="H339" s="32">
        <f>IF(OR(B339=0,B338=0),"-",(B339-B338)/B338)</f>
        <v/>
      </c>
    </row>
    <row r="340" ht="17" customHeight="1">
      <c r="A340" s="26" t="n"/>
      <c r="B340" s="27" t="n"/>
      <c r="C340" s="28" t="n"/>
      <c r="D340" s="27" t="n"/>
      <c r="E340" s="28" t="n"/>
      <c r="F340" s="29">
        <f>IF(B340=0,"-",B340-D340)</f>
        <v/>
      </c>
      <c r="G340" s="30">
        <f>IF(B340=0,"-",(B340-D340)/B340)</f>
        <v/>
      </c>
      <c r="H340" s="30">
        <f>IF(OR(B340=0,B339=0),"-",(B340-B339)/B339)</f>
        <v/>
      </c>
    </row>
    <row r="341" ht="17" customHeight="1">
      <c r="A341" s="26" t="n"/>
      <c r="B341" s="27" t="n"/>
      <c r="C341" s="28" t="n"/>
      <c r="D341" s="27" t="n"/>
      <c r="E341" s="28" t="n"/>
      <c r="F341" s="31">
        <f>IF(B341=0,"-",B341-D341)</f>
        <v/>
      </c>
      <c r="G341" s="32">
        <f>IF(B341=0,"-",(B341-D341)/B341)</f>
        <v/>
      </c>
      <c r="H341" s="32">
        <f>IF(OR(B341=0,B340=0),"-",(B341-B340)/B340)</f>
        <v/>
      </c>
    </row>
    <row r="342" ht="17" customHeight="1">
      <c r="A342" s="26" t="n"/>
      <c r="B342" s="27" t="n"/>
      <c r="C342" s="28" t="n"/>
      <c r="D342" s="27" t="n"/>
      <c r="E342" s="28" t="n"/>
      <c r="F342" s="29">
        <f>IF(B342=0,"-",B342-D342)</f>
        <v/>
      </c>
      <c r="G342" s="30">
        <f>IF(B342=0,"-",(B342-D342)/B342)</f>
        <v/>
      </c>
      <c r="H342" s="30">
        <f>IF(OR(B342=0,B341=0),"-",(B342-B341)/B341)</f>
        <v/>
      </c>
    </row>
    <row r="343" ht="17" customHeight="1">
      <c r="A343" s="26" t="n"/>
      <c r="B343" s="27" t="n"/>
      <c r="C343" s="28" t="n"/>
      <c r="D343" s="27" t="n"/>
      <c r="E343" s="28" t="n"/>
      <c r="F343" s="31">
        <f>IF(B343=0,"-",B343-D343)</f>
        <v/>
      </c>
      <c r="G343" s="32">
        <f>IF(B343=0,"-",(B343-D343)/B343)</f>
        <v/>
      </c>
      <c r="H343" s="32">
        <f>IF(OR(B343=0,B342=0),"-",(B343-B342)/B342)</f>
        <v/>
      </c>
    </row>
    <row r="344" ht="17" customHeight="1">
      <c r="A344" s="26" t="n"/>
      <c r="B344" s="27" t="n"/>
      <c r="C344" s="28" t="n"/>
      <c r="D344" s="27" t="n"/>
      <c r="E344" s="28" t="n"/>
      <c r="F344" s="29">
        <f>IF(B344=0,"-",B344-D344)</f>
        <v/>
      </c>
      <c r="G344" s="30">
        <f>IF(B344=0,"-",(B344-D344)/B344)</f>
        <v/>
      </c>
      <c r="H344" s="30">
        <f>IF(OR(B344=0,B343=0),"-",(B344-B343)/B343)</f>
        <v/>
      </c>
    </row>
    <row r="345" ht="17" customHeight="1">
      <c r="A345" s="26" t="n"/>
      <c r="B345" s="27" t="n"/>
      <c r="C345" s="28" t="n"/>
      <c r="D345" s="27" t="n"/>
      <c r="E345" s="28" t="n"/>
      <c r="F345" s="31">
        <f>IF(B345=0,"-",B345-D345)</f>
        <v/>
      </c>
      <c r="G345" s="32">
        <f>IF(B345=0,"-",(B345-D345)/B345)</f>
        <v/>
      </c>
      <c r="H345" s="32">
        <f>IF(OR(B345=0,B344=0),"-",(B345-B344)/B344)</f>
        <v/>
      </c>
    </row>
    <row r="346" ht="17" customHeight="1">
      <c r="A346" s="26" t="n"/>
      <c r="B346" s="27" t="n"/>
      <c r="C346" s="28" t="n"/>
      <c r="D346" s="27" t="n"/>
      <c r="E346" s="28" t="n"/>
      <c r="F346" s="29">
        <f>IF(B346=0,"-",B346-D346)</f>
        <v/>
      </c>
      <c r="G346" s="30">
        <f>IF(B346=0,"-",(B346-D346)/B346)</f>
        <v/>
      </c>
      <c r="H346" s="30">
        <f>IF(OR(B346=0,B345=0),"-",(B346-B345)/B345)</f>
        <v/>
      </c>
    </row>
    <row r="347" ht="17" customHeight="1">
      <c r="A347" s="26" t="n"/>
      <c r="B347" s="27" t="n"/>
      <c r="C347" s="28" t="n"/>
      <c r="D347" s="27" t="n"/>
      <c r="E347" s="28" t="n"/>
      <c r="F347" s="31">
        <f>IF(B347=0,"-",B347-D347)</f>
        <v/>
      </c>
      <c r="G347" s="32">
        <f>IF(B347=0,"-",(B347-D347)/B347)</f>
        <v/>
      </c>
      <c r="H347" s="32">
        <f>IF(OR(B347=0,B346=0),"-",(B347-B346)/B346)</f>
        <v/>
      </c>
    </row>
    <row r="348" ht="17" customHeight="1">
      <c r="A348" s="26" t="n"/>
      <c r="B348" s="27" t="n"/>
      <c r="C348" s="28" t="n"/>
      <c r="D348" s="27" t="n"/>
      <c r="E348" s="28" t="n"/>
      <c r="F348" s="29">
        <f>IF(B348=0,"-",B348-D348)</f>
        <v/>
      </c>
      <c r="G348" s="30">
        <f>IF(B348=0,"-",(B348-D348)/B348)</f>
        <v/>
      </c>
      <c r="H348" s="30">
        <f>IF(OR(B348=0,B347=0),"-",(B348-B347)/B347)</f>
        <v/>
      </c>
    </row>
    <row r="349" ht="17" customHeight="1">
      <c r="A349" s="26" t="n"/>
      <c r="B349" s="27" t="n"/>
      <c r="C349" s="28" t="n"/>
      <c r="D349" s="27" t="n"/>
      <c r="E349" s="28" t="n"/>
      <c r="F349" s="31">
        <f>IF(B349=0,"-",B349-D349)</f>
        <v/>
      </c>
      <c r="G349" s="32">
        <f>IF(B349=0,"-",(B349-D349)/B349)</f>
        <v/>
      </c>
      <c r="H349" s="32">
        <f>IF(OR(B349=0,B348=0),"-",(B349-B348)/B348)</f>
        <v/>
      </c>
    </row>
    <row r="350" ht="17" customHeight="1">
      <c r="A350" s="26" t="n"/>
      <c r="B350" s="27" t="n"/>
      <c r="C350" s="28" t="n"/>
      <c r="D350" s="27" t="n"/>
      <c r="E350" s="28" t="n"/>
      <c r="F350" s="29">
        <f>IF(B350=0,"-",B350-D350)</f>
        <v/>
      </c>
      <c r="G350" s="30">
        <f>IF(B350=0,"-",(B350-D350)/B350)</f>
        <v/>
      </c>
      <c r="H350" s="30">
        <f>IF(OR(B350=0,B349=0),"-",(B350-B349)/B349)</f>
        <v/>
      </c>
    </row>
    <row r="351" ht="17" customHeight="1">
      <c r="A351" s="26" t="n"/>
      <c r="B351" s="27" t="n"/>
      <c r="C351" s="28" t="n"/>
      <c r="D351" s="27" t="n"/>
      <c r="E351" s="28" t="n"/>
      <c r="F351" s="31">
        <f>IF(B351=0,"-",B351-D351)</f>
        <v/>
      </c>
      <c r="G351" s="32">
        <f>IF(B351=0,"-",(B351-D351)/B351)</f>
        <v/>
      </c>
      <c r="H351" s="32">
        <f>IF(OR(B351=0,B350=0),"-",(B351-B350)/B350)</f>
        <v/>
      </c>
    </row>
    <row r="352" ht="17" customHeight="1">
      <c r="A352" s="26" t="n"/>
      <c r="B352" s="27" t="n"/>
      <c r="C352" s="28" t="n"/>
      <c r="D352" s="27" t="n"/>
      <c r="E352" s="28" t="n"/>
      <c r="F352" s="29">
        <f>IF(B352=0,"-",B352-D352)</f>
        <v/>
      </c>
      <c r="G352" s="30">
        <f>IF(B352=0,"-",(B352-D352)/B352)</f>
        <v/>
      </c>
      <c r="H352" s="30">
        <f>IF(OR(B352=0,B351=0),"-",(B352-B351)/B351)</f>
        <v/>
      </c>
    </row>
    <row r="353" ht="17" customHeight="1">
      <c r="A353" s="26" t="n"/>
      <c r="B353" s="27" t="n"/>
      <c r="C353" s="28" t="n"/>
      <c r="D353" s="27" t="n"/>
      <c r="E353" s="28" t="n"/>
      <c r="F353" s="31">
        <f>IF(B353=0,"-",B353-D353)</f>
        <v/>
      </c>
      <c r="G353" s="32">
        <f>IF(B353=0,"-",(B353-D353)/B353)</f>
        <v/>
      </c>
      <c r="H353" s="32">
        <f>IF(OR(B353=0,B352=0),"-",(B353-B352)/B352)</f>
        <v/>
      </c>
    </row>
    <row r="354" ht="17" customHeight="1">
      <c r="A354" s="26" t="n"/>
      <c r="B354" s="27" t="n"/>
      <c r="C354" s="28" t="n"/>
      <c r="D354" s="27" t="n"/>
      <c r="E354" s="28" t="n"/>
      <c r="F354" s="29">
        <f>IF(B354=0,"-",B354-D354)</f>
        <v/>
      </c>
      <c r="G354" s="30">
        <f>IF(B354=0,"-",(B354-D354)/B354)</f>
        <v/>
      </c>
      <c r="H354" s="30">
        <f>IF(OR(B354=0,B353=0),"-",(B354-B353)/B353)</f>
        <v/>
      </c>
    </row>
    <row r="355" ht="17" customHeight="1">
      <c r="A355" s="26" t="n"/>
      <c r="B355" s="27" t="n"/>
      <c r="C355" s="28" t="n"/>
      <c r="D355" s="27" t="n"/>
      <c r="E355" s="28" t="n"/>
      <c r="F355" s="31">
        <f>IF(B355=0,"-",B355-D355)</f>
        <v/>
      </c>
      <c r="G355" s="32">
        <f>IF(B355=0,"-",(B355-D355)/B355)</f>
        <v/>
      </c>
      <c r="H355" s="32">
        <f>IF(OR(B355=0,B354=0),"-",(B355-B354)/B354)</f>
        <v/>
      </c>
    </row>
    <row r="356" ht="17" customHeight="1">
      <c r="A356" s="26" t="n"/>
      <c r="B356" s="27" t="n"/>
      <c r="C356" s="28" t="n"/>
      <c r="D356" s="27" t="n"/>
      <c r="E356" s="28" t="n"/>
      <c r="F356" s="29">
        <f>IF(B356=0,"-",B356-D356)</f>
        <v/>
      </c>
      <c r="G356" s="30">
        <f>IF(B356=0,"-",(B356-D356)/B356)</f>
        <v/>
      </c>
      <c r="H356" s="30">
        <f>IF(OR(B356=0,B355=0),"-",(B356-B355)/B355)</f>
        <v/>
      </c>
    </row>
    <row r="357" ht="17" customHeight="1">
      <c r="A357" s="26" t="n"/>
      <c r="B357" s="27" t="n"/>
      <c r="C357" s="28" t="n"/>
      <c r="D357" s="27" t="n"/>
      <c r="E357" s="28" t="n"/>
      <c r="F357" s="31">
        <f>IF(B357=0,"-",B357-D357)</f>
        <v/>
      </c>
      <c r="G357" s="32">
        <f>IF(B357=0,"-",(B357-D357)/B357)</f>
        <v/>
      </c>
      <c r="H357" s="32">
        <f>IF(OR(B357=0,B356=0),"-",(B357-B356)/B356)</f>
        <v/>
      </c>
    </row>
    <row r="358" ht="17" customHeight="1">
      <c r="A358" s="26" t="n"/>
      <c r="B358" s="27" t="n"/>
      <c r="C358" s="28" t="n"/>
      <c r="D358" s="27" t="n"/>
      <c r="E358" s="28" t="n"/>
      <c r="F358" s="29">
        <f>IF(B358=0,"-",B358-D358)</f>
        <v/>
      </c>
      <c r="G358" s="30">
        <f>IF(B358=0,"-",(B358-D358)/B358)</f>
        <v/>
      </c>
      <c r="H358" s="30">
        <f>IF(OR(B358=0,B357=0),"-",(B358-B357)/B357)</f>
        <v/>
      </c>
    </row>
    <row r="359" ht="17" customHeight="1">
      <c r="A359" s="26" t="n"/>
      <c r="B359" s="27" t="n"/>
      <c r="C359" s="28" t="n"/>
      <c r="D359" s="27" t="n"/>
      <c r="E359" s="28" t="n"/>
      <c r="F359" s="31">
        <f>IF(B359=0,"-",B359-D359)</f>
        <v/>
      </c>
      <c r="G359" s="32">
        <f>IF(B359=0,"-",(B359-D359)/B359)</f>
        <v/>
      </c>
      <c r="H359" s="32">
        <f>IF(OR(B359=0,B358=0),"-",(B359-B358)/B358)</f>
        <v/>
      </c>
    </row>
    <row r="360" ht="17" customHeight="1">
      <c r="A360" s="26" t="n"/>
      <c r="B360" s="27" t="n"/>
      <c r="C360" s="28" t="n"/>
      <c r="D360" s="27" t="n"/>
      <c r="E360" s="28" t="n"/>
      <c r="F360" s="29">
        <f>IF(B360=0,"-",B360-D360)</f>
        <v/>
      </c>
      <c r="G360" s="30">
        <f>IF(B360=0,"-",(B360-D360)/B360)</f>
        <v/>
      </c>
      <c r="H360" s="30">
        <f>IF(OR(B360=0,B359=0),"-",(B360-B359)/B359)</f>
        <v/>
      </c>
    </row>
    <row r="361" ht="17" customHeight="1">
      <c r="A361" s="26" t="n"/>
      <c r="B361" s="27" t="n"/>
      <c r="C361" s="28" t="n"/>
      <c r="D361" s="27" t="n"/>
      <c r="E361" s="28" t="n"/>
      <c r="F361" s="31">
        <f>IF(B361=0,"-",B361-D361)</f>
        <v/>
      </c>
      <c r="G361" s="32">
        <f>IF(B361=0,"-",(B361-D361)/B361)</f>
        <v/>
      </c>
      <c r="H361" s="32">
        <f>IF(OR(B361=0,B360=0),"-",(B361-B360)/B360)</f>
        <v/>
      </c>
    </row>
    <row r="362" ht="17" customHeight="1">
      <c r="A362" s="26" t="n"/>
      <c r="B362" s="27" t="n"/>
      <c r="C362" s="28" t="n"/>
      <c r="D362" s="27" t="n"/>
      <c r="E362" s="28" t="n"/>
      <c r="F362" s="29">
        <f>IF(B362=0,"-",B362-D362)</f>
        <v/>
      </c>
      <c r="G362" s="30">
        <f>IF(B362=0,"-",(B362-D362)/B362)</f>
        <v/>
      </c>
      <c r="H362" s="30">
        <f>IF(OR(B362=0,B361=0),"-",(B362-B361)/B361)</f>
        <v/>
      </c>
    </row>
    <row r="363" ht="17" customHeight="1">
      <c r="A363" s="26" t="n"/>
      <c r="B363" s="27" t="n"/>
      <c r="C363" s="28" t="n"/>
      <c r="D363" s="27" t="n"/>
      <c r="E363" s="28" t="n"/>
      <c r="F363" s="31">
        <f>IF(B363=0,"-",B363-D363)</f>
        <v/>
      </c>
      <c r="G363" s="32">
        <f>IF(B363=0,"-",(B363-D363)/B363)</f>
        <v/>
      </c>
      <c r="H363" s="32">
        <f>IF(OR(B363=0,B362=0),"-",(B363-B362)/B362)</f>
        <v/>
      </c>
    </row>
    <row r="364" ht="17" customHeight="1">
      <c r="A364" s="26" t="n"/>
      <c r="B364" s="27" t="n"/>
      <c r="C364" s="28" t="n"/>
      <c r="D364" s="27" t="n"/>
      <c r="E364" s="28" t="n"/>
      <c r="F364" s="29">
        <f>IF(B364=0,"-",B364-D364)</f>
        <v/>
      </c>
      <c r="G364" s="30">
        <f>IF(B364=0,"-",(B364-D364)/B364)</f>
        <v/>
      </c>
      <c r="H364" s="30">
        <f>IF(OR(B364=0,B363=0),"-",(B364-B363)/B363)</f>
        <v/>
      </c>
    </row>
    <row r="365" ht="17" customHeight="1">
      <c r="A365" s="26" t="n"/>
      <c r="B365" s="27" t="n"/>
      <c r="C365" s="28" t="n"/>
      <c r="D365" s="27" t="n"/>
      <c r="E365" s="28" t="n"/>
      <c r="F365" s="31">
        <f>IF(B365=0,"-",B365-D365)</f>
        <v/>
      </c>
      <c r="G365" s="32">
        <f>IF(B365=0,"-",(B365-D365)/B365)</f>
        <v/>
      </c>
      <c r="H365" s="32">
        <f>IF(OR(B365=0,B364=0),"-",(B365-B364)/B364)</f>
        <v/>
      </c>
    </row>
    <row r="366" ht="17" customHeight="1">
      <c r="A366" s="26" t="n"/>
      <c r="B366" s="27" t="n"/>
      <c r="C366" s="28" t="n"/>
      <c r="D366" s="27" t="n"/>
      <c r="E366" s="28" t="n"/>
      <c r="F366" s="29">
        <f>IF(B366=0,"-",B366-D366)</f>
        <v/>
      </c>
      <c r="G366" s="30">
        <f>IF(B366=0,"-",(B366-D366)/B366)</f>
        <v/>
      </c>
      <c r="H366" s="30">
        <f>IF(OR(B366=0,B365=0),"-",(B366-B365)/B365)</f>
        <v/>
      </c>
    </row>
    <row r="367" ht="17" customHeight="1">
      <c r="A367" s="26" t="n"/>
      <c r="B367" s="27" t="n"/>
      <c r="C367" s="28" t="n"/>
      <c r="D367" s="27" t="n"/>
      <c r="E367" s="28" t="n"/>
      <c r="F367" s="31">
        <f>IF(B367=0,"-",B367-D367)</f>
        <v/>
      </c>
      <c r="G367" s="32">
        <f>IF(B367=0,"-",(B367-D367)/B367)</f>
        <v/>
      </c>
      <c r="H367" s="32">
        <f>IF(OR(B367=0,B366=0),"-",(B367-B366)/B366)</f>
        <v/>
      </c>
    </row>
    <row r="368" ht="17" customHeight="1">
      <c r="A368" s="26" t="n"/>
      <c r="B368" s="27" t="n"/>
      <c r="C368" s="28" t="n"/>
      <c r="D368" s="27" t="n"/>
      <c r="E368" s="28" t="n"/>
      <c r="F368" s="29">
        <f>IF(B368=0,"-",B368-D368)</f>
        <v/>
      </c>
      <c r="G368" s="30">
        <f>IF(B368=0,"-",(B368-D368)/B368)</f>
        <v/>
      </c>
      <c r="H368" s="30">
        <f>IF(OR(B368=0,B367=0),"-",(B368-B367)/B367)</f>
        <v/>
      </c>
    </row>
    <row r="369" ht="17" customHeight="1">
      <c r="A369" s="26" t="n"/>
      <c r="B369" s="27" t="n"/>
      <c r="C369" s="28" t="n"/>
      <c r="D369" s="27" t="n"/>
      <c r="E369" s="28" t="n"/>
      <c r="F369" s="31">
        <f>IF(B369=0,"-",B369-D369)</f>
        <v/>
      </c>
      <c r="G369" s="32">
        <f>IF(B369=0,"-",(B369-D369)/B369)</f>
        <v/>
      </c>
      <c r="H369" s="32">
        <f>IF(OR(B369=0,B368=0),"-",(B369-B368)/B368)</f>
        <v/>
      </c>
    </row>
    <row r="370" ht="17" customHeight="1">
      <c r="A370" s="26" t="n"/>
      <c r="B370" s="27" t="n"/>
      <c r="C370" s="28" t="n"/>
      <c r="D370" s="27" t="n"/>
      <c r="E370" s="28" t="n"/>
      <c r="F370" s="29">
        <f>IF(B370=0,"-",B370-D370)</f>
        <v/>
      </c>
      <c r="G370" s="30">
        <f>IF(B370=0,"-",(B370-D370)/B370)</f>
        <v/>
      </c>
      <c r="H370" s="30">
        <f>IF(OR(B370=0,B369=0),"-",(B370-B369)/B369)</f>
        <v/>
      </c>
    </row>
    <row r="371" ht="17" customHeight="1">
      <c r="A371" s="26" t="n"/>
      <c r="B371" s="27" t="n"/>
      <c r="C371" s="28" t="n"/>
      <c r="D371" s="27" t="n"/>
      <c r="E371" s="28" t="n"/>
      <c r="F371" s="31">
        <f>IF(B371=0,"-",B371-D371)</f>
        <v/>
      </c>
      <c r="G371" s="32">
        <f>IF(B371=0,"-",(B371-D371)/B371)</f>
        <v/>
      </c>
      <c r="H371" s="32">
        <f>IF(OR(B371=0,B370=0),"-",(B371-B370)/B370)</f>
        <v/>
      </c>
    </row>
    <row r="372" ht="17" customHeight="1">
      <c r="A372" s="26" t="n"/>
      <c r="B372" s="27" t="n"/>
      <c r="C372" s="28" t="n"/>
      <c r="D372" s="27" t="n"/>
      <c r="E372" s="28" t="n"/>
      <c r="F372" s="29">
        <f>IF(B372=0,"-",B372-D372)</f>
        <v/>
      </c>
      <c r="G372" s="30">
        <f>IF(B372=0,"-",(B372-D372)/B372)</f>
        <v/>
      </c>
      <c r="H372" s="30">
        <f>IF(OR(B372=0,B371=0),"-",(B372-B371)/B371)</f>
        <v/>
      </c>
    </row>
    <row r="373" ht="17" customHeight="1">
      <c r="A373" s="26" t="n"/>
      <c r="B373" s="27" t="n"/>
      <c r="C373" s="28" t="n"/>
      <c r="D373" s="27" t="n"/>
      <c r="E373" s="28" t="n"/>
      <c r="F373" s="31">
        <f>IF(B373=0,"-",B373-D373)</f>
        <v/>
      </c>
      <c r="G373" s="32">
        <f>IF(B373=0,"-",(B373-D373)/B373)</f>
        <v/>
      </c>
      <c r="H373" s="32">
        <f>IF(OR(B373=0,B372=0),"-",(B373-B372)/B372)</f>
        <v/>
      </c>
    </row>
    <row r="374" ht="17" customHeight="1">
      <c r="A374" s="26" t="n"/>
      <c r="B374" s="27" t="n"/>
      <c r="C374" s="28" t="n"/>
      <c r="D374" s="27" t="n"/>
      <c r="E374" s="28" t="n"/>
      <c r="F374" s="29">
        <f>IF(B374=0,"-",B374-D374)</f>
        <v/>
      </c>
      <c r="G374" s="30">
        <f>IF(B374=0,"-",(B374-D374)/B374)</f>
        <v/>
      </c>
      <c r="H374" s="30">
        <f>IF(OR(B374=0,B373=0),"-",(B374-B373)/B373)</f>
        <v/>
      </c>
    </row>
    <row r="375" ht="17" customHeight="1">
      <c r="A375" s="26" t="n"/>
      <c r="B375" s="27" t="n"/>
      <c r="C375" s="28" t="n"/>
      <c r="D375" s="27" t="n"/>
      <c r="E375" s="28" t="n"/>
      <c r="F375" s="31">
        <f>IF(B375=0,"-",B375-D375)</f>
        <v/>
      </c>
      <c r="G375" s="32">
        <f>IF(B375=0,"-",(B375-D375)/B375)</f>
        <v/>
      </c>
      <c r="H375" s="32">
        <f>IF(OR(B375=0,B374=0),"-",(B375-B374)/B374)</f>
        <v/>
      </c>
    </row>
    <row r="376" ht="17" customHeight="1">
      <c r="A376" s="26" t="n"/>
      <c r="B376" s="27" t="n"/>
      <c r="C376" s="28" t="n"/>
      <c r="D376" s="27" t="n"/>
      <c r="E376" s="28" t="n"/>
      <c r="F376" s="29">
        <f>IF(B376=0,"-",B376-D376)</f>
        <v/>
      </c>
      <c r="G376" s="30">
        <f>IF(B376=0,"-",(B376-D376)/B376)</f>
        <v/>
      </c>
      <c r="H376" s="30">
        <f>IF(OR(B376=0,B375=0),"-",(B376-B375)/B375)</f>
        <v/>
      </c>
    </row>
    <row r="377" ht="17" customHeight="1">
      <c r="A377" s="26" t="n"/>
      <c r="B377" s="27" t="n"/>
      <c r="C377" s="28" t="n"/>
      <c r="D377" s="27" t="n"/>
      <c r="E377" s="28" t="n"/>
      <c r="F377" s="31">
        <f>IF(B377=0,"-",B377-D377)</f>
        <v/>
      </c>
      <c r="G377" s="32">
        <f>IF(B377=0,"-",(B377-D377)/B377)</f>
        <v/>
      </c>
      <c r="H377" s="32">
        <f>IF(OR(B377=0,B376=0),"-",(B377-B376)/B376)</f>
        <v/>
      </c>
    </row>
    <row r="378" ht="17" customHeight="1">
      <c r="A378" s="26" t="n"/>
      <c r="B378" s="27" t="n"/>
      <c r="C378" s="28" t="n"/>
      <c r="D378" s="27" t="n"/>
      <c r="E378" s="28" t="n"/>
      <c r="F378" s="29">
        <f>IF(B378=0,"-",B378-D378)</f>
        <v/>
      </c>
      <c r="G378" s="30">
        <f>IF(B378=0,"-",(B378-D378)/B378)</f>
        <v/>
      </c>
      <c r="H378" s="30">
        <f>IF(OR(B378=0,B377=0),"-",(B378-B377)/B377)</f>
        <v/>
      </c>
    </row>
    <row r="379" ht="17" customHeight="1">
      <c r="A379" s="26" t="n"/>
      <c r="B379" s="27" t="n"/>
      <c r="C379" s="28" t="n"/>
      <c r="D379" s="27" t="n"/>
      <c r="E379" s="28" t="n"/>
      <c r="F379" s="31">
        <f>IF(B379=0,"-",B379-D379)</f>
        <v/>
      </c>
      <c r="G379" s="32">
        <f>IF(B379=0,"-",(B379-D379)/B379)</f>
        <v/>
      </c>
      <c r="H379" s="32">
        <f>IF(OR(B379=0,B378=0),"-",(B379-B378)/B378)</f>
        <v/>
      </c>
    </row>
    <row r="380" ht="17" customHeight="1">
      <c r="A380" s="26" t="n"/>
      <c r="B380" s="27" t="n"/>
      <c r="C380" s="28" t="n"/>
      <c r="D380" s="27" t="n"/>
      <c r="E380" s="28" t="n"/>
      <c r="F380" s="29">
        <f>IF(B380=0,"-",B380-D380)</f>
        <v/>
      </c>
      <c r="G380" s="30">
        <f>IF(B380=0,"-",(B380-D380)/B380)</f>
        <v/>
      </c>
      <c r="H380" s="30">
        <f>IF(OR(B380=0,B379=0),"-",(B380-B379)/B379)</f>
        <v/>
      </c>
    </row>
    <row r="381" ht="17" customHeight="1">
      <c r="A381" s="26" t="n"/>
      <c r="B381" s="27" t="n"/>
      <c r="C381" s="28" t="n"/>
      <c r="D381" s="27" t="n"/>
      <c r="E381" s="28" t="n"/>
      <c r="F381" s="31">
        <f>IF(B381=0,"-",B381-D381)</f>
        <v/>
      </c>
      <c r="G381" s="32">
        <f>IF(B381=0,"-",(B381-D381)/B381)</f>
        <v/>
      </c>
      <c r="H381" s="32">
        <f>IF(OR(B381=0,B380=0),"-",(B381-B380)/B380)</f>
        <v/>
      </c>
    </row>
    <row r="382" ht="17" customHeight="1">
      <c r="A382" s="26" t="n"/>
      <c r="B382" s="27" t="n"/>
      <c r="C382" s="28" t="n"/>
      <c r="D382" s="27" t="n"/>
      <c r="E382" s="28" t="n"/>
      <c r="F382" s="29">
        <f>IF(B382=0,"-",B382-D382)</f>
        <v/>
      </c>
      <c r="G382" s="30">
        <f>IF(B382=0,"-",(B382-D382)/B382)</f>
        <v/>
      </c>
      <c r="H382" s="30">
        <f>IF(OR(B382=0,B381=0),"-",(B382-B381)/B381)</f>
        <v/>
      </c>
    </row>
    <row r="383" ht="17" customHeight="1">
      <c r="A383" s="26" t="n"/>
      <c r="B383" s="27" t="n"/>
      <c r="C383" s="28" t="n"/>
      <c r="D383" s="27" t="n"/>
      <c r="E383" s="28" t="n"/>
      <c r="F383" s="31">
        <f>IF(B383=0,"-",B383-D383)</f>
        <v/>
      </c>
      <c r="G383" s="32">
        <f>IF(B383=0,"-",(B383-D383)/B383)</f>
        <v/>
      </c>
      <c r="H383" s="32">
        <f>IF(OR(B383=0,B382=0),"-",(B383-B382)/B382)</f>
        <v/>
      </c>
    </row>
    <row r="384" ht="17" customHeight="1">
      <c r="A384" s="26" t="n"/>
      <c r="B384" s="27" t="n"/>
      <c r="C384" s="28" t="n"/>
      <c r="D384" s="27" t="n"/>
      <c r="E384" s="28" t="n"/>
      <c r="F384" s="29">
        <f>IF(B384=0,"-",B384-D384)</f>
        <v/>
      </c>
      <c r="G384" s="30">
        <f>IF(B384=0,"-",(B384-D384)/B384)</f>
        <v/>
      </c>
      <c r="H384" s="30">
        <f>IF(OR(B384=0,B383=0),"-",(B384-B383)/B383)</f>
        <v/>
      </c>
    </row>
    <row r="385" ht="17" customHeight="1">
      <c r="A385" s="26" t="n"/>
      <c r="B385" s="27" t="n"/>
      <c r="C385" s="28" t="n"/>
      <c r="D385" s="27" t="n"/>
      <c r="E385" s="28" t="n"/>
      <c r="F385" s="31">
        <f>IF(B385=0,"-",B385-D385)</f>
        <v/>
      </c>
      <c r="G385" s="32">
        <f>IF(B385=0,"-",(B385-D385)/B385)</f>
        <v/>
      </c>
      <c r="H385" s="32">
        <f>IF(OR(B385=0,B384=0),"-",(B385-B384)/B384)</f>
        <v/>
      </c>
    </row>
    <row r="386" ht="17" customHeight="1">
      <c r="A386" s="26" t="n"/>
      <c r="B386" s="27" t="n"/>
      <c r="C386" s="28" t="n"/>
      <c r="D386" s="27" t="n"/>
      <c r="E386" s="28" t="n"/>
      <c r="F386" s="29">
        <f>IF(B386=0,"-",B386-D386)</f>
        <v/>
      </c>
      <c r="G386" s="30">
        <f>IF(B386=0,"-",(B386-D386)/B386)</f>
        <v/>
      </c>
      <c r="H386" s="30">
        <f>IF(OR(B386=0,B385=0),"-",(B386-B385)/B385)</f>
        <v/>
      </c>
    </row>
    <row r="387" ht="17" customHeight="1">
      <c r="A387" s="26" t="n"/>
      <c r="B387" s="27" t="n"/>
      <c r="C387" s="28" t="n"/>
      <c r="D387" s="27" t="n"/>
      <c r="E387" s="28" t="n"/>
      <c r="F387" s="31">
        <f>IF(B387=0,"-",B387-D387)</f>
        <v/>
      </c>
      <c r="G387" s="32">
        <f>IF(B387=0,"-",(B387-D387)/B387)</f>
        <v/>
      </c>
      <c r="H387" s="32">
        <f>IF(OR(B387=0,B386=0),"-",(B387-B386)/B386)</f>
        <v/>
      </c>
    </row>
    <row r="388" ht="17" customHeight="1">
      <c r="A388" s="26" t="n"/>
      <c r="B388" s="27" t="n"/>
      <c r="C388" s="28" t="n"/>
      <c r="D388" s="27" t="n"/>
      <c r="E388" s="28" t="n"/>
      <c r="F388" s="29">
        <f>IF(B388=0,"-",B388-D388)</f>
        <v/>
      </c>
      <c r="G388" s="30">
        <f>IF(B388=0,"-",(B388-D388)/B388)</f>
        <v/>
      </c>
      <c r="H388" s="30">
        <f>IF(OR(B388=0,B387=0),"-",(B388-B387)/B387)</f>
        <v/>
      </c>
    </row>
    <row r="389" ht="17" customHeight="1">
      <c r="A389" s="26" t="n"/>
      <c r="B389" s="27" t="n"/>
      <c r="C389" s="28" t="n"/>
      <c r="D389" s="27" t="n"/>
      <c r="E389" s="28" t="n"/>
      <c r="F389" s="31">
        <f>IF(B389=0,"-",B389-D389)</f>
        <v/>
      </c>
      <c r="G389" s="32">
        <f>IF(B389=0,"-",(B389-D389)/B389)</f>
        <v/>
      </c>
      <c r="H389" s="32">
        <f>IF(OR(B389=0,B388=0),"-",(B389-B388)/B388)</f>
        <v/>
      </c>
    </row>
    <row r="390" ht="17" customHeight="1">
      <c r="A390" s="26" t="n"/>
      <c r="B390" s="27" t="n"/>
      <c r="C390" s="28" t="n"/>
      <c r="D390" s="27" t="n"/>
      <c r="E390" s="28" t="n"/>
      <c r="F390" s="29">
        <f>IF(B390=0,"-",B390-D390)</f>
        <v/>
      </c>
      <c r="G390" s="30">
        <f>IF(B390=0,"-",(B390-D390)/B390)</f>
        <v/>
      </c>
      <c r="H390" s="30">
        <f>IF(OR(B390=0,B389=0),"-",(B390-B389)/B389)</f>
        <v/>
      </c>
    </row>
    <row r="391" ht="17" customHeight="1">
      <c r="A391" s="26" t="n"/>
      <c r="B391" s="27" t="n"/>
      <c r="C391" s="28" t="n"/>
      <c r="D391" s="27" t="n"/>
      <c r="E391" s="28" t="n"/>
      <c r="F391" s="31">
        <f>IF(B391=0,"-",B391-D391)</f>
        <v/>
      </c>
      <c r="G391" s="32">
        <f>IF(B391=0,"-",(B391-D391)/B391)</f>
        <v/>
      </c>
      <c r="H391" s="32">
        <f>IF(OR(B391=0,B390=0),"-",(B391-B390)/B390)</f>
        <v/>
      </c>
    </row>
    <row r="392" ht="17" customHeight="1">
      <c r="A392" s="26" t="n"/>
      <c r="B392" s="27" t="n"/>
      <c r="C392" s="28" t="n"/>
      <c r="D392" s="27" t="n"/>
      <c r="E392" s="28" t="n"/>
      <c r="F392" s="29">
        <f>IF(B392=0,"-",B392-D392)</f>
        <v/>
      </c>
      <c r="G392" s="30">
        <f>IF(B392=0,"-",(B392-D392)/B392)</f>
        <v/>
      </c>
      <c r="H392" s="30">
        <f>IF(OR(B392=0,B391=0),"-",(B392-B391)/B391)</f>
        <v/>
      </c>
    </row>
    <row r="393" ht="17" customHeight="1">
      <c r="A393" s="26" t="n"/>
      <c r="B393" s="27" t="n"/>
      <c r="C393" s="28" t="n"/>
      <c r="D393" s="27" t="n"/>
      <c r="E393" s="28" t="n"/>
      <c r="F393" s="31">
        <f>IF(B393=0,"-",B393-D393)</f>
        <v/>
      </c>
      <c r="G393" s="32">
        <f>IF(B393=0,"-",(B393-D393)/B393)</f>
        <v/>
      </c>
      <c r="H393" s="32">
        <f>IF(OR(B393=0,B392=0),"-",(B393-B392)/B392)</f>
        <v/>
      </c>
    </row>
    <row r="394" ht="17" customHeight="1">
      <c r="A394" s="26" t="n"/>
      <c r="B394" s="27" t="n"/>
      <c r="C394" s="28" t="n"/>
      <c r="D394" s="27" t="n"/>
      <c r="E394" s="28" t="n"/>
      <c r="F394" s="29">
        <f>IF(B394=0,"-",B394-D394)</f>
        <v/>
      </c>
      <c r="G394" s="30">
        <f>IF(B394=0,"-",(B394-D394)/B394)</f>
        <v/>
      </c>
      <c r="H394" s="30">
        <f>IF(OR(B394=0,B393=0),"-",(B394-B393)/B393)</f>
        <v/>
      </c>
    </row>
    <row r="395" ht="17" customHeight="1">
      <c r="A395" s="26" t="n"/>
      <c r="B395" s="27" t="n"/>
      <c r="C395" s="28" t="n"/>
      <c r="D395" s="27" t="n"/>
      <c r="E395" s="28" t="n"/>
      <c r="F395" s="31">
        <f>IF(B395=0,"-",B395-D395)</f>
        <v/>
      </c>
      <c r="G395" s="32">
        <f>IF(B395=0,"-",(B395-D395)/B395)</f>
        <v/>
      </c>
      <c r="H395" s="32">
        <f>IF(OR(B395=0,B394=0),"-",(B395-B394)/B394)</f>
        <v/>
      </c>
    </row>
    <row r="396" ht="17" customHeight="1">
      <c r="A396" s="26" t="n"/>
      <c r="B396" s="27" t="n"/>
      <c r="C396" s="28" t="n"/>
      <c r="D396" s="27" t="n"/>
      <c r="E396" s="28" t="n"/>
      <c r="F396" s="29">
        <f>IF(B396=0,"-",B396-D396)</f>
        <v/>
      </c>
      <c r="G396" s="30">
        <f>IF(B396=0,"-",(B396-D396)/B396)</f>
        <v/>
      </c>
      <c r="H396" s="30">
        <f>IF(OR(B396=0,B395=0),"-",(B396-B395)/B395)</f>
        <v/>
      </c>
    </row>
    <row r="397" ht="17" customHeight="1">
      <c r="A397" s="26" t="n"/>
      <c r="B397" s="27" t="n"/>
      <c r="C397" s="28" t="n"/>
      <c r="D397" s="27" t="n"/>
      <c r="E397" s="28" t="n"/>
      <c r="F397" s="31">
        <f>IF(B397=0,"-",B397-D397)</f>
        <v/>
      </c>
      <c r="G397" s="32">
        <f>IF(B397=0,"-",(B397-D397)/B397)</f>
        <v/>
      </c>
      <c r="H397" s="32">
        <f>IF(OR(B397=0,B396=0),"-",(B397-B396)/B396)</f>
        <v/>
      </c>
    </row>
    <row r="398" ht="17" customHeight="1">
      <c r="A398" s="26" t="n"/>
      <c r="B398" s="27" t="n"/>
      <c r="C398" s="28" t="n"/>
      <c r="D398" s="27" t="n"/>
      <c r="E398" s="28" t="n"/>
      <c r="F398" s="29">
        <f>IF(B398=0,"-",B398-D398)</f>
        <v/>
      </c>
      <c r="G398" s="30">
        <f>IF(B398=0,"-",(B398-D398)/B398)</f>
        <v/>
      </c>
      <c r="H398" s="30">
        <f>IF(OR(B398=0,B397=0),"-",(B398-B397)/B397)</f>
        <v/>
      </c>
    </row>
    <row r="399" ht="17" customHeight="1">
      <c r="A399" s="26" t="n"/>
      <c r="B399" s="27" t="n"/>
      <c r="C399" s="28" t="n"/>
      <c r="D399" s="27" t="n"/>
      <c r="E399" s="28" t="n"/>
      <c r="F399" s="31">
        <f>IF(B399=0,"-",B399-D399)</f>
        <v/>
      </c>
      <c r="G399" s="32">
        <f>IF(B399=0,"-",(B399-D399)/B399)</f>
        <v/>
      </c>
      <c r="H399" s="32">
        <f>IF(OR(B399=0,B398=0),"-",(B399-B398)/B398)</f>
        <v/>
      </c>
    </row>
    <row r="400" ht="17" customHeight="1">
      <c r="A400" s="26" t="n"/>
      <c r="B400" s="27" t="n"/>
      <c r="C400" s="28" t="n"/>
      <c r="D400" s="27" t="n"/>
      <c r="E400" s="28" t="n"/>
      <c r="F400" s="29">
        <f>IF(B400=0,"-",B400-D400)</f>
        <v/>
      </c>
      <c r="G400" s="30">
        <f>IF(B400=0,"-",(B400-D400)/B400)</f>
        <v/>
      </c>
      <c r="H400" s="30">
        <f>IF(OR(B400=0,B399=0),"-",(B400-B399)/B399)</f>
        <v/>
      </c>
    </row>
    <row r="401" ht="17" customHeight="1">
      <c r="A401" s="26" t="n"/>
      <c r="B401" s="27" t="n"/>
      <c r="C401" s="28" t="n"/>
      <c r="D401" s="27" t="n"/>
      <c r="E401" s="28" t="n"/>
      <c r="F401" s="31">
        <f>IF(B401=0,"-",B401-D401)</f>
        <v/>
      </c>
      <c r="G401" s="32">
        <f>IF(B401=0,"-",(B401-D401)/B401)</f>
        <v/>
      </c>
      <c r="H401" s="32">
        <f>IF(OR(B401=0,B400=0),"-",(B401-B400)/B400)</f>
        <v/>
      </c>
    </row>
    <row r="402" ht="17" customHeight="1">
      <c r="A402" s="26" t="n"/>
      <c r="B402" s="27" t="n"/>
      <c r="C402" s="28" t="n"/>
      <c r="D402" s="27" t="n"/>
      <c r="E402" s="28" t="n"/>
      <c r="F402" s="29">
        <f>IF(B402=0,"-",B402-D402)</f>
        <v/>
      </c>
      <c r="G402" s="30">
        <f>IF(B402=0,"-",(B402-D402)/B402)</f>
        <v/>
      </c>
      <c r="H402" s="30">
        <f>IF(OR(B402=0,B401=0),"-",(B402-B401)/B401)</f>
        <v/>
      </c>
    </row>
    <row r="403" ht="17" customHeight="1">
      <c r="A403" s="26" t="n"/>
      <c r="B403" s="27" t="n"/>
      <c r="C403" s="28" t="n"/>
      <c r="D403" s="27" t="n"/>
      <c r="E403" s="28" t="n"/>
      <c r="F403" s="31">
        <f>IF(B403=0,"-",B403-D403)</f>
        <v/>
      </c>
      <c r="G403" s="32">
        <f>IF(B403=0,"-",(B403-D403)/B403)</f>
        <v/>
      </c>
      <c r="H403" s="32">
        <f>IF(OR(B403=0,B402=0),"-",(B403-B402)/B402)</f>
        <v/>
      </c>
    </row>
    <row r="404" ht="17" customHeight="1">
      <c r="A404" s="26" t="n"/>
      <c r="B404" s="27" t="n"/>
      <c r="C404" s="28" t="n"/>
      <c r="D404" s="27" t="n"/>
      <c r="E404" s="28" t="n"/>
      <c r="F404" s="29">
        <f>IF(B404=0,"-",B404-D404)</f>
        <v/>
      </c>
      <c r="G404" s="30">
        <f>IF(B404=0,"-",(B404-D404)/B404)</f>
        <v/>
      </c>
      <c r="H404" s="30">
        <f>IF(OR(B404=0,B403=0),"-",(B404-B403)/B403)</f>
        <v/>
      </c>
    </row>
    <row r="405" ht="17" customHeight="1">
      <c r="A405" s="26" t="n"/>
      <c r="B405" s="27" t="n"/>
      <c r="C405" s="28" t="n"/>
      <c r="D405" s="27" t="n"/>
      <c r="E405" s="28" t="n"/>
      <c r="F405" s="31">
        <f>IF(B405=0,"-",B405-D405)</f>
        <v/>
      </c>
      <c r="G405" s="32">
        <f>IF(B405=0,"-",(B405-D405)/B405)</f>
        <v/>
      </c>
      <c r="H405" s="32">
        <f>IF(OR(B405=0,B404=0),"-",(B405-B404)/B404)</f>
        <v/>
      </c>
    </row>
    <row r="406" ht="17" customHeight="1">
      <c r="A406" s="26" t="n"/>
      <c r="B406" s="27" t="n"/>
      <c r="C406" s="28" t="n"/>
      <c r="D406" s="27" t="n"/>
      <c r="E406" s="28" t="n"/>
      <c r="F406" s="29">
        <f>IF(B406=0,"-",B406-D406)</f>
        <v/>
      </c>
      <c r="G406" s="30">
        <f>IF(B406=0,"-",(B406-D406)/B406)</f>
        <v/>
      </c>
      <c r="H406" s="30">
        <f>IF(OR(B406=0,B405=0),"-",(B406-B405)/B405)</f>
        <v/>
      </c>
    </row>
    <row r="407" ht="17" customHeight="1">
      <c r="A407" s="26" t="n"/>
      <c r="B407" s="27" t="n"/>
      <c r="C407" s="28" t="n"/>
      <c r="D407" s="27" t="n"/>
      <c r="E407" s="28" t="n"/>
      <c r="F407" s="31">
        <f>IF(B407=0,"-",B407-D407)</f>
        <v/>
      </c>
      <c r="G407" s="32">
        <f>IF(B407=0,"-",(B407-D407)/B407)</f>
        <v/>
      </c>
      <c r="H407" s="32">
        <f>IF(OR(B407=0,B406=0),"-",(B407-B406)/B406)</f>
        <v/>
      </c>
    </row>
    <row r="408" ht="17" customHeight="1">
      <c r="A408" s="26" t="n"/>
      <c r="B408" s="27" t="n"/>
      <c r="C408" s="28" t="n"/>
      <c r="D408" s="27" t="n"/>
      <c r="E408" s="28" t="n"/>
      <c r="F408" s="29">
        <f>IF(B408=0,"-",B408-D408)</f>
        <v/>
      </c>
      <c r="G408" s="30">
        <f>IF(B408=0,"-",(B408-D408)/B408)</f>
        <v/>
      </c>
      <c r="H408" s="30">
        <f>IF(OR(B408=0,B407=0),"-",(B408-B407)/B407)</f>
        <v/>
      </c>
    </row>
    <row r="409" ht="17" customHeight="1">
      <c r="A409" s="26" t="n"/>
      <c r="B409" s="27" t="n"/>
      <c r="C409" s="28" t="n"/>
      <c r="D409" s="27" t="n"/>
      <c r="E409" s="28" t="n"/>
      <c r="F409" s="31">
        <f>IF(B409=0,"-",B409-D409)</f>
        <v/>
      </c>
      <c r="G409" s="32">
        <f>IF(B409=0,"-",(B409-D409)/B409)</f>
        <v/>
      </c>
      <c r="H409" s="32">
        <f>IF(OR(B409=0,B408=0),"-",(B409-B408)/B408)</f>
        <v/>
      </c>
    </row>
    <row r="410" ht="17" customHeight="1">
      <c r="A410" s="26" t="n"/>
      <c r="B410" s="27" t="n"/>
      <c r="C410" s="28" t="n"/>
      <c r="D410" s="27" t="n"/>
      <c r="E410" s="28" t="n"/>
      <c r="F410" s="29">
        <f>IF(B410=0,"-",B410-D410)</f>
        <v/>
      </c>
      <c r="G410" s="30">
        <f>IF(B410=0,"-",(B410-D410)/B410)</f>
        <v/>
      </c>
      <c r="H410" s="30">
        <f>IF(OR(B410=0,B409=0),"-",(B410-B409)/B409)</f>
        <v/>
      </c>
    </row>
    <row r="411" ht="17" customHeight="1">
      <c r="A411" s="26" t="n"/>
      <c r="B411" s="27" t="n"/>
      <c r="C411" s="28" t="n"/>
      <c r="D411" s="27" t="n"/>
      <c r="E411" s="28" t="n"/>
      <c r="F411" s="31">
        <f>IF(B411=0,"-",B411-D411)</f>
        <v/>
      </c>
      <c r="G411" s="32">
        <f>IF(B411=0,"-",(B411-D411)/B411)</f>
        <v/>
      </c>
      <c r="H411" s="32">
        <f>IF(OR(B411=0,B410=0),"-",(B411-B410)/B410)</f>
        <v/>
      </c>
    </row>
    <row r="412" ht="17" customHeight="1">
      <c r="A412" s="26" t="n"/>
      <c r="B412" s="27" t="n"/>
      <c r="C412" s="28" t="n"/>
      <c r="D412" s="27" t="n"/>
      <c r="E412" s="28" t="n"/>
      <c r="F412" s="29">
        <f>IF(B412=0,"-",B412-D412)</f>
        <v/>
      </c>
      <c r="G412" s="30">
        <f>IF(B412=0,"-",(B412-D412)/B412)</f>
        <v/>
      </c>
      <c r="H412" s="30">
        <f>IF(OR(B412=0,B411=0),"-",(B412-B411)/B411)</f>
        <v/>
      </c>
    </row>
    <row r="413" ht="17" customHeight="1">
      <c r="A413" s="26" t="n"/>
      <c r="B413" s="27" t="n"/>
      <c r="C413" s="28" t="n"/>
      <c r="D413" s="27" t="n"/>
      <c r="E413" s="28" t="n"/>
      <c r="F413" s="31">
        <f>IF(B413=0,"-",B413-D413)</f>
        <v/>
      </c>
      <c r="G413" s="32">
        <f>IF(B413=0,"-",(B413-D413)/B413)</f>
        <v/>
      </c>
      <c r="H413" s="32">
        <f>IF(OR(B413=0,B412=0),"-",(B413-B412)/B412)</f>
        <v/>
      </c>
    </row>
    <row r="414" ht="17" customHeight="1">
      <c r="A414" s="26" t="n"/>
      <c r="B414" s="27" t="n"/>
      <c r="C414" s="28" t="n"/>
      <c r="D414" s="27" t="n"/>
      <c r="E414" s="28" t="n"/>
      <c r="F414" s="29">
        <f>IF(B414=0,"-",B414-D414)</f>
        <v/>
      </c>
      <c r="G414" s="30">
        <f>IF(B414=0,"-",(B414-D414)/B414)</f>
        <v/>
      </c>
      <c r="H414" s="30">
        <f>IF(OR(B414=0,B413=0),"-",(B414-B413)/B413)</f>
        <v/>
      </c>
    </row>
    <row r="415" ht="17" customHeight="1">
      <c r="A415" s="26" t="n"/>
      <c r="B415" s="27" t="n"/>
      <c r="C415" s="28" t="n"/>
      <c r="D415" s="27" t="n"/>
      <c r="E415" s="28" t="n"/>
      <c r="F415" s="31">
        <f>IF(B415=0,"-",B415-D415)</f>
        <v/>
      </c>
      <c r="G415" s="32">
        <f>IF(B415=0,"-",(B415-D415)/B415)</f>
        <v/>
      </c>
      <c r="H415" s="32">
        <f>IF(OR(B415=0,B414=0),"-",(B415-B414)/B414)</f>
        <v/>
      </c>
    </row>
    <row r="416" ht="17" customHeight="1">
      <c r="A416" s="26" t="n"/>
      <c r="B416" s="27" t="n"/>
      <c r="C416" s="28" t="n"/>
      <c r="D416" s="27" t="n"/>
      <c r="E416" s="28" t="n"/>
      <c r="F416" s="29">
        <f>IF(B416=0,"-",B416-D416)</f>
        <v/>
      </c>
      <c r="G416" s="30">
        <f>IF(B416=0,"-",(B416-D416)/B416)</f>
        <v/>
      </c>
      <c r="H416" s="30">
        <f>IF(OR(B416=0,B415=0),"-",(B416-B415)/B415)</f>
        <v/>
      </c>
    </row>
    <row r="417" ht="17" customHeight="1">
      <c r="A417" s="26" t="n"/>
      <c r="B417" s="27" t="n"/>
      <c r="C417" s="28" t="n"/>
      <c r="D417" s="27" t="n"/>
      <c r="E417" s="28" t="n"/>
      <c r="F417" s="31">
        <f>IF(B417=0,"-",B417-D417)</f>
        <v/>
      </c>
      <c r="G417" s="32">
        <f>IF(B417=0,"-",(B417-D417)/B417)</f>
        <v/>
      </c>
      <c r="H417" s="32">
        <f>IF(OR(B417=0,B416=0),"-",(B417-B416)/B416)</f>
        <v/>
      </c>
    </row>
    <row r="418" ht="17" customHeight="1">
      <c r="A418" s="26" t="n"/>
      <c r="B418" s="27" t="n"/>
      <c r="C418" s="28" t="n"/>
      <c r="D418" s="27" t="n"/>
      <c r="E418" s="28" t="n"/>
      <c r="F418" s="29">
        <f>IF(B418=0,"-",B418-D418)</f>
        <v/>
      </c>
      <c r="G418" s="30">
        <f>IF(B418=0,"-",(B418-D418)/B418)</f>
        <v/>
      </c>
      <c r="H418" s="30">
        <f>IF(OR(B418=0,B417=0),"-",(B418-B417)/B417)</f>
        <v/>
      </c>
    </row>
    <row r="419" ht="17" customHeight="1">
      <c r="A419" s="26" t="n"/>
      <c r="B419" s="27" t="n"/>
      <c r="C419" s="28" t="n"/>
      <c r="D419" s="27" t="n"/>
      <c r="E419" s="28" t="n"/>
      <c r="F419" s="31">
        <f>IF(B419=0,"-",B419-D419)</f>
        <v/>
      </c>
      <c r="G419" s="32">
        <f>IF(B419=0,"-",(B419-D419)/B419)</f>
        <v/>
      </c>
      <c r="H419" s="32">
        <f>IF(OR(B419=0,B418=0),"-",(B419-B418)/B418)</f>
        <v/>
      </c>
    </row>
    <row r="420" ht="17" customHeight="1">
      <c r="A420" s="26" t="n"/>
      <c r="B420" s="27" t="n"/>
      <c r="C420" s="28" t="n"/>
      <c r="D420" s="27" t="n"/>
      <c r="E420" s="28" t="n"/>
      <c r="F420" s="29">
        <f>IF(B420=0,"-",B420-D420)</f>
        <v/>
      </c>
      <c r="G420" s="30">
        <f>IF(B420=0,"-",(B420-D420)/B420)</f>
        <v/>
      </c>
      <c r="H420" s="30">
        <f>IF(OR(B420=0,B419=0),"-",(B420-B419)/B419)</f>
        <v/>
      </c>
    </row>
    <row r="421" ht="17" customHeight="1">
      <c r="A421" s="26" t="n"/>
      <c r="B421" s="27" t="n"/>
      <c r="C421" s="28" t="n"/>
      <c r="D421" s="27" t="n"/>
      <c r="E421" s="28" t="n"/>
      <c r="F421" s="31">
        <f>IF(B421=0,"-",B421-D421)</f>
        <v/>
      </c>
      <c r="G421" s="32">
        <f>IF(B421=0,"-",(B421-D421)/B421)</f>
        <v/>
      </c>
      <c r="H421" s="32">
        <f>IF(OR(B421=0,B420=0),"-",(B421-B420)/B420)</f>
        <v/>
      </c>
    </row>
    <row r="422" ht="17" customHeight="1">
      <c r="A422" s="26" t="n"/>
      <c r="B422" s="27" t="n"/>
      <c r="C422" s="28" t="n"/>
      <c r="D422" s="27" t="n"/>
      <c r="E422" s="28" t="n"/>
      <c r="F422" s="29">
        <f>IF(B422=0,"-",B422-D422)</f>
        <v/>
      </c>
      <c r="G422" s="30">
        <f>IF(B422=0,"-",(B422-D422)/B422)</f>
        <v/>
      </c>
      <c r="H422" s="30">
        <f>IF(OR(B422=0,B421=0),"-",(B422-B421)/B421)</f>
        <v/>
      </c>
    </row>
    <row r="423" ht="17" customHeight="1">
      <c r="A423" s="26" t="n"/>
      <c r="B423" s="27" t="n"/>
      <c r="C423" s="28" t="n"/>
      <c r="D423" s="27" t="n"/>
      <c r="E423" s="28" t="n"/>
      <c r="F423" s="31">
        <f>IF(B423=0,"-",B423-D423)</f>
        <v/>
      </c>
      <c r="G423" s="32">
        <f>IF(B423=0,"-",(B423-D423)/B423)</f>
        <v/>
      </c>
      <c r="H423" s="32">
        <f>IF(OR(B423=0,B422=0),"-",(B423-B422)/B422)</f>
        <v/>
      </c>
    </row>
    <row r="424" ht="17" customHeight="1">
      <c r="A424" s="26" t="n"/>
      <c r="B424" s="27" t="n"/>
      <c r="C424" s="28" t="n"/>
      <c r="D424" s="27" t="n"/>
      <c r="E424" s="28" t="n"/>
      <c r="F424" s="29">
        <f>IF(B424=0,"-",B424-D424)</f>
        <v/>
      </c>
      <c r="G424" s="30">
        <f>IF(B424=0,"-",(B424-D424)/B424)</f>
        <v/>
      </c>
      <c r="H424" s="30">
        <f>IF(OR(B424=0,B423=0),"-",(B424-B423)/B423)</f>
        <v/>
      </c>
    </row>
    <row r="425" ht="17" customHeight="1">
      <c r="A425" s="26" t="n"/>
      <c r="B425" s="27" t="n"/>
      <c r="C425" s="28" t="n"/>
      <c r="D425" s="27" t="n"/>
      <c r="E425" s="28" t="n"/>
      <c r="F425" s="31">
        <f>IF(B425=0,"-",B425-D425)</f>
        <v/>
      </c>
      <c r="G425" s="32">
        <f>IF(B425=0,"-",(B425-D425)/B425)</f>
        <v/>
      </c>
      <c r="H425" s="32">
        <f>IF(OR(B425=0,B424=0),"-",(B425-B424)/B424)</f>
        <v/>
      </c>
    </row>
    <row r="426" ht="17" customHeight="1">
      <c r="A426" s="26" t="n"/>
      <c r="B426" s="27" t="n"/>
      <c r="C426" s="28" t="n"/>
      <c r="D426" s="27" t="n"/>
      <c r="E426" s="28" t="n"/>
      <c r="F426" s="29">
        <f>IF(B426=0,"-",B426-D426)</f>
        <v/>
      </c>
      <c r="G426" s="30">
        <f>IF(B426=0,"-",(B426-D426)/B426)</f>
        <v/>
      </c>
      <c r="H426" s="30">
        <f>IF(OR(B426=0,B425=0),"-",(B426-B425)/B425)</f>
        <v/>
      </c>
    </row>
    <row r="427" ht="17" customHeight="1">
      <c r="A427" s="26" t="n"/>
      <c r="B427" s="27" t="n"/>
      <c r="C427" s="28" t="n"/>
      <c r="D427" s="27" t="n"/>
      <c r="E427" s="28" t="n"/>
      <c r="F427" s="31">
        <f>IF(B427=0,"-",B427-D427)</f>
        <v/>
      </c>
      <c r="G427" s="32">
        <f>IF(B427=0,"-",(B427-D427)/B427)</f>
        <v/>
      </c>
      <c r="H427" s="32">
        <f>IF(OR(B427=0,B426=0),"-",(B427-B426)/B426)</f>
        <v/>
      </c>
    </row>
    <row r="428" ht="17" customHeight="1">
      <c r="A428" s="26" t="n"/>
      <c r="B428" s="27" t="n"/>
      <c r="C428" s="28" t="n"/>
      <c r="D428" s="27" t="n"/>
      <c r="E428" s="28" t="n"/>
      <c r="F428" s="29">
        <f>IF(B428=0,"-",B428-D428)</f>
        <v/>
      </c>
      <c r="G428" s="30">
        <f>IF(B428=0,"-",(B428-D428)/B428)</f>
        <v/>
      </c>
      <c r="H428" s="30">
        <f>IF(OR(B428=0,B427=0),"-",(B428-B427)/B427)</f>
        <v/>
      </c>
    </row>
    <row r="429" ht="17" customHeight="1">
      <c r="A429" s="26" t="n"/>
      <c r="B429" s="27" t="n"/>
      <c r="C429" s="28" t="n"/>
      <c r="D429" s="27" t="n"/>
      <c r="E429" s="28" t="n"/>
      <c r="F429" s="31">
        <f>IF(B429=0,"-",B429-D429)</f>
        <v/>
      </c>
      <c r="G429" s="32">
        <f>IF(B429=0,"-",(B429-D429)/B429)</f>
        <v/>
      </c>
      <c r="H429" s="32">
        <f>IF(OR(B429=0,B428=0),"-",(B429-B428)/B428)</f>
        <v/>
      </c>
    </row>
    <row r="430" ht="17" customHeight="1">
      <c r="A430" s="26" t="n"/>
      <c r="B430" s="27" t="n"/>
      <c r="C430" s="28" t="n"/>
      <c r="D430" s="27" t="n"/>
      <c r="E430" s="28" t="n"/>
      <c r="F430" s="29">
        <f>IF(B430=0,"-",B430-D430)</f>
        <v/>
      </c>
      <c r="G430" s="30">
        <f>IF(B430=0,"-",(B430-D430)/B430)</f>
        <v/>
      </c>
      <c r="H430" s="30">
        <f>IF(OR(B430=0,B429=0),"-",(B430-B429)/B429)</f>
        <v/>
      </c>
    </row>
    <row r="431" ht="17" customHeight="1">
      <c r="A431" s="26" t="n"/>
      <c r="B431" s="27" t="n"/>
      <c r="C431" s="28" t="n"/>
      <c r="D431" s="27" t="n"/>
      <c r="E431" s="28" t="n"/>
      <c r="F431" s="31">
        <f>IF(B431=0,"-",B431-D431)</f>
        <v/>
      </c>
      <c r="G431" s="32">
        <f>IF(B431=0,"-",(B431-D431)/B431)</f>
        <v/>
      </c>
      <c r="H431" s="32">
        <f>IF(OR(B431=0,B430=0),"-",(B431-B430)/B430)</f>
        <v/>
      </c>
    </row>
    <row r="432" ht="17" customHeight="1">
      <c r="A432" s="26" t="n"/>
      <c r="B432" s="27" t="n"/>
      <c r="C432" s="28" t="n"/>
      <c r="D432" s="27" t="n"/>
      <c r="E432" s="28" t="n"/>
      <c r="F432" s="29">
        <f>IF(B432=0,"-",B432-D432)</f>
        <v/>
      </c>
      <c r="G432" s="30">
        <f>IF(B432=0,"-",(B432-D432)/B432)</f>
        <v/>
      </c>
      <c r="H432" s="30">
        <f>IF(OR(B432=0,B431=0),"-",(B432-B431)/B431)</f>
        <v/>
      </c>
    </row>
    <row r="433" ht="17" customHeight="1">
      <c r="A433" s="26" t="n"/>
      <c r="B433" s="27" t="n"/>
      <c r="C433" s="28" t="n"/>
      <c r="D433" s="27" t="n"/>
      <c r="E433" s="28" t="n"/>
      <c r="F433" s="31">
        <f>IF(B433=0,"-",B433-D433)</f>
        <v/>
      </c>
      <c r="G433" s="32">
        <f>IF(B433=0,"-",(B433-D433)/B433)</f>
        <v/>
      </c>
      <c r="H433" s="32">
        <f>IF(OR(B433=0,B432=0),"-",(B433-B432)/B432)</f>
        <v/>
      </c>
    </row>
    <row r="434" ht="17" customHeight="1">
      <c r="A434" s="26" t="n"/>
      <c r="B434" s="27" t="n"/>
      <c r="C434" s="28" t="n"/>
      <c r="D434" s="27" t="n"/>
      <c r="E434" s="28" t="n"/>
      <c r="F434" s="29">
        <f>IF(B434=0,"-",B434-D434)</f>
        <v/>
      </c>
      <c r="G434" s="30">
        <f>IF(B434=0,"-",(B434-D434)/B434)</f>
        <v/>
      </c>
      <c r="H434" s="30">
        <f>IF(OR(B434=0,B433=0),"-",(B434-B433)/B433)</f>
        <v/>
      </c>
    </row>
    <row r="435" ht="17" customHeight="1">
      <c r="A435" s="26" t="n"/>
      <c r="B435" s="27" t="n"/>
      <c r="C435" s="28" t="n"/>
      <c r="D435" s="27" t="n"/>
      <c r="E435" s="28" t="n"/>
      <c r="F435" s="31">
        <f>IF(B435=0,"-",B435-D435)</f>
        <v/>
      </c>
      <c r="G435" s="32">
        <f>IF(B435=0,"-",(B435-D435)/B435)</f>
        <v/>
      </c>
      <c r="H435" s="32">
        <f>IF(OR(B435=0,B434=0),"-",(B435-B434)/B434)</f>
        <v/>
      </c>
    </row>
    <row r="436" ht="17" customHeight="1">
      <c r="A436" s="26" t="n"/>
      <c r="B436" s="27" t="n"/>
      <c r="C436" s="28" t="n"/>
      <c r="D436" s="27" t="n"/>
      <c r="E436" s="28" t="n"/>
      <c r="F436" s="29">
        <f>IF(B436=0,"-",B436-D436)</f>
        <v/>
      </c>
      <c r="G436" s="30">
        <f>IF(B436=0,"-",(B436-D436)/B436)</f>
        <v/>
      </c>
      <c r="H436" s="30">
        <f>IF(OR(B436=0,B435=0),"-",(B436-B435)/B435)</f>
        <v/>
      </c>
    </row>
    <row r="437" ht="17" customHeight="1">
      <c r="A437" s="26" t="n"/>
      <c r="B437" s="27" t="n"/>
      <c r="C437" s="28" t="n"/>
      <c r="D437" s="27" t="n"/>
      <c r="E437" s="28" t="n"/>
      <c r="F437" s="31">
        <f>IF(B437=0,"-",B437-D437)</f>
        <v/>
      </c>
      <c r="G437" s="32">
        <f>IF(B437=0,"-",(B437-D437)/B437)</f>
        <v/>
      </c>
      <c r="H437" s="32">
        <f>IF(OR(B437=0,B436=0),"-",(B437-B436)/B436)</f>
        <v/>
      </c>
    </row>
    <row r="438" ht="17" customHeight="1">
      <c r="A438" s="26" t="n"/>
      <c r="B438" s="27" t="n"/>
      <c r="C438" s="28" t="n"/>
      <c r="D438" s="27" t="n"/>
      <c r="E438" s="28" t="n"/>
      <c r="F438" s="29">
        <f>IF(B438=0,"-",B438-D438)</f>
        <v/>
      </c>
      <c r="G438" s="30">
        <f>IF(B438=0,"-",(B438-D438)/B438)</f>
        <v/>
      </c>
      <c r="H438" s="30">
        <f>IF(OR(B438=0,B437=0),"-",(B438-B437)/B437)</f>
        <v/>
      </c>
    </row>
    <row r="439" ht="17" customHeight="1">
      <c r="A439" s="26" t="n"/>
      <c r="B439" s="27" t="n"/>
      <c r="C439" s="28" t="n"/>
      <c r="D439" s="27" t="n"/>
      <c r="E439" s="28" t="n"/>
      <c r="F439" s="31">
        <f>IF(B439=0,"-",B439-D439)</f>
        <v/>
      </c>
      <c r="G439" s="32">
        <f>IF(B439=0,"-",(B439-D439)/B439)</f>
        <v/>
      </c>
      <c r="H439" s="32">
        <f>IF(OR(B439=0,B438=0),"-",(B439-B438)/B438)</f>
        <v/>
      </c>
    </row>
    <row r="440" ht="17" customHeight="1">
      <c r="A440" s="26" t="n"/>
      <c r="B440" s="27" t="n"/>
      <c r="C440" s="28" t="n"/>
      <c r="D440" s="27" t="n"/>
      <c r="E440" s="28" t="n"/>
      <c r="F440" s="29">
        <f>IF(B440=0,"-",B440-D440)</f>
        <v/>
      </c>
      <c r="G440" s="30">
        <f>IF(B440=0,"-",(B440-D440)/B440)</f>
        <v/>
      </c>
      <c r="H440" s="30">
        <f>IF(OR(B440=0,B439=0),"-",(B440-B439)/B439)</f>
        <v/>
      </c>
    </row>
    <row r="441" ht="17" customHeight="1">
      <c r="A441" s="26" t="n"/>
      <c r="B441" s="27" t="n"/>
      <c r="C441" s="28" t="n"/>
      <c r="D441" s="27" t="n"/>
      <c r="E441" s="28" t="n"/>
      <c r="F441" s="31">
        <f>IF(B441=0,"-",B441-D441)</f>
        <v/>
      </c>
      <c r="G441" s="32">
        <f>IF(B441=0,"-",(B441-D441)/B441)</f>
        <v/>
      </c>
      <c r="H441" s="32">
        <f>IF(OR(B441=0,B440=0),"-",(B441-B440)/B440)</f>
        <v/>
      </c>
    </row>
    <row r="442" ht="17" customHeight="1">
      <c r="A442" s="26" t="n"/>
      <c r="B442" s="27" t="n"/>
      <c r="C442" s="28" t="n"/>
      <c r="D442" s="27" t="n"/>
      <c r="E442" s="28" t="n"/>
      <c r="F442" s="29">
        <f>IF(B442=0,"-",B442-D442)</f>
        <v/>
      </c>
      <c r="G442" s="30">
        <f>IF(B442=0,"-",(B442-D442)/B442)</f>
        <v/>
      </c>
      <c r="H442" s="30">
        <f>IF(OR(B442=0,B441=0),"-",(B442-B441)/B441)</f>
        <v/>
      </c>
    </row>
    <row r="443" ht="17" customHeight="1">
      <c r="A443" s="26" t="n"/>
      <c r="B443" s="27" t="n"/>
      <c r="C443" s="28" t="n"/>
      <c r="D443" s="27" t="n"/>
      <c r="E443" s="28" t="n"/>
      <c r="F443" s="31">
        <f>IF(B443=0,"-",B443-D443)</f>
        <v/>
      </c>
      <c r="G443" s="32">
        <f>IF(B443=0,"-",(B443-D443)/B443)</f>
        <v/>
      </c>
      <c r="H443" s="32">
        <f>IF(OR(B443=0,B442=0),"-",(B443-B442)/B442)</f>
        <v/>
      </c>
    </row>
    <row r="444" ht="17" customHeight="1">
      <c r="A444" s="26" t="n"/>
      <c r="B444" s="27" t="n"/>
      <c r="C444" s="28" t="n"/>
      <c r="D444" s="27" t="n"/>
      <c r="E444" s="28" t="n"/>
      <c r="F444" s="29">
        <f>IF(B444=0,"-",B444-D444)</f>
        <v/>
      </c>
      <c r="G444" s="30">
        <f>IF(B444=0,"-",(B444-D444)/B444)</f>
        <v/>
      </c>
      <c r="H444" s="30">
        <f>IF(OR(B444=0,B443=0),"-",(B444-B443)/B443)</f>
        <v/>
      </c>
    </row>
    <row r="445" ht="17" customHeight="1">
      <c r="A445" s="26" t="n"/>
      <c r="B445" s="27" t="n"/>
      <c r="C445" s="28" t="n"/>
      <c r="D445" s="27" t="n"/>
      <c r="E445" s="28" t="n"/>
      <c r="F445" s="31">
        <f>IF(B445=0,"-",B445-D445)</f>
        <v/>
      </c>
      <c r="G445" s="32">
        <f>IF(B445=0,"-",(B445-D445)/B445)</f>
        <v/>
      </c>
      <c r="H445" s="32">
        <f>IF(OR(B445=0,B444=0),"-",(B445-B444)/B444)</f>
        <v/>
      </c>
    </row>
    <row r="446" ht="17" customHeight="1">
      <c r="A446" s="26" t="n"/>
      <c r="B446" s="27" t="n"/>
      <c r="C446" s="28" t="n"/>
      <c r="D446" s="27" t="n"/>
      <c r="E446" s="28" t="n"/>
      <c r="F446" s="29">
        <f>IF(B446=0,"-",B446-D446)</f>
        <v/>
      </c>
      <c r="G446" s="30">
        <f>IF(B446=0,"-",(B446-D446)/B446)</f>
        <v/>
      </c>
      <c r="H446" s="30">
        <f>IF(OR(B446=0,B445=0),"-",(B446-B445)/B445)</f>
        <v/>
      </c>
    </row>
    <row r="447" ht="17" customHeight="1">
      <c r="A447" s="26" t="n"/>
      <c r="B447" s="27" t="n"/>
      <c r="C447" s="28" t="n"/>
      <c r="D447" s="27" t="n"/>
      <c r="E447" s="28" t="n"/>
      <c r="F447" s="31">
        <f>IF(B447=0,"-",B447-D447)</f>
        <v/>
      </c>
      <c r="G447" s="32">
        <f>IF(B447=0,"-",(B447-D447)/B447)</f>
        <v/>
      </c>
      <c r="H447" s="32">
        <f>IF(OR(B447=0,B446=0),"-",(B447-B446)/B446)</f>
        <v/>
      </c>
    </row>
    <row r="448" ht="17" customHeight="1">
      <c r="A448" s="26" t="n"/>
      <c r="B448" s="27" t="n"/>
      <c r="C448" s="28" t="n"/>
      <c r="D448" s="27" t="n"/>
      <c r="E448" s="28" t="n"/>
      <c r="F448" s="29">
        <f>IF(B448=0,"-",B448-D448)</f>
        <v/>
      </c>
      <c r="G448" s="30">
        <f>IF(B448=0,"-",(B448-D448)/B448)</f>
        <v/>
      </c>
      <c r="H448" s="30">
        <f>IF(OR(B448=0,B447=0),"-",(B448-B447)/B447)</f>
        <v/>
      </c>
    </row>
    <row r="449" ht="17" customHeight="1">
      <c r="A449" s="26" t="n"/>
      <c r="B449" s="27" t="n"/>
      <c r="C449" s="28" t="n"/>
      <c r="D449" s="27" t="n"/>
      <c r="E449" s="28" t="n"/>
      <c r="F449" s="31">
        <f>IF(B449=0,"-",B449-D449)</f>
        <v/>
      </c>
      <c r="G449" s="32">
        <f>IF(B449=0,"-",(B449-D449)/B449)</f>
        <v/>
      </c>
      <c r="H449" s="32">
        <f>IF(OR(B449=0,B448=0),"-",(B449-B448)/B448)</f>
        <v/>
      </c>
    </row>
    <row r="450" ht="17" customHeight="1">
      <c r="A450" s="26" t="n"/>
      <c r="B450" s="27" t="n"/>
      <c r="C450" s="28" t="n"/>
      <c r="D450" s="27" t="n"/>
      <c r="E450" s="28" t="n"/>
      <c r="F450" s="29">
        <f>IF(B450=0,"-",B450-D450)</f>
        <v/>
      </c>
      <c r="G450" s="30">
        <f>IF(B450=0,"-",(B450-D450)/B450)</f>
        <v/>
      </c>
      <c r="H450" s="30">
        <f>IF(OR(B450=0,B449=0),"-",(B450-B449)/B449)</f>
        <v/>
      </c>
    </row>
    <row r="451" ht="17" customHeight="1">
      <c r="A451" s="26" t="n"/>
      <c r="B451" s="27" t="n"/>
      <c r="C451" s="28" t="n"/>
      <c r="D451" s="27" t="n"/>
      <c r="E451" s="28" t="n"/>
      <c r="F451" s="31">
        <f>IF(B451=0,"-",B451-D451)</f>
        <v/>
      </c>
      <c r="G451" s="32">
        <f>IF(B451=0,"-",(B451-D451)/B451)</f>
        <v/>
      </c>
      <c r="H451" s="32">
        <f>IF(OR(B451=0,B450=0),"-",(B451-B450)/B450)</f>
        <v/>
      </c>
    </row>
    <row r="452" ht="17" customHeight="1">
      <c r="A452" s="26" t="n"/>
      <c r="B452" s="27" t="n"/>
      <c r="C452" s="28" t="n"/>
      <c r="D452" s="27" t="n"/>
      <c r="E452" s="28" t="n"/>
      <c r="F452" s="29">
        <f>IF(B452=0,"-",B452-D452)</f>
        <v/>
      </c>
      <c r="G452" s="30">
        <f>IF(B452=0,"-",(B452-D452)/B452)</f>
        <v/>
      </c>
      <c r="H452" s="30">
        <f>IF(OR(B452=0,B451=0),"-",(B452-B451)/B451)</f>
        <v/>
      </c>
    </row>
    <row r="453" ht="17" customHeight="1">
      <c r="A453" s="26" t="n"/>
      <c r="B453" s="27" t="n"/>
      <c r="C453" s="28" t="n"/>
      <c r="D453" s="27" t="n"/>
      <c r="E453" s="28" t="n"/>
      <c r="F453" s="31">
        <f>IF(B453=0,"-",B453-D453)</f>
        <v/>
      </c>
      <c r="G453" s="32">
        <f>IF(B453=0,"-",(B453-D453)/B453)</f>
        <v/>
      </c>
      <c r="H453" s="32">
        <f>IF(OR(B453=0,B452=0),"-",(B453-B452)/B452)</f>
        <v/>
      </c>
    </row>
    <row r="454" ht="17" customHeight="1">
      <c r="A454" s="26" t="n"/>
      <c r="B454" s="27" t="n"/>
      <c r="C454" s="28" t="n"/>
      <c r="D454" s="27" t="n"/>
      <c r="E454" s="28" t="n"/>
      <c r="F454" s="29">
        <f>IF(B454=0,"-",B454-D454)</f>
        <v/>
      </c>
      <c r="G454" s="30">
        <f>IF(B454=0,"-",(B454-D454)/B454)</f>
        <v/>
      </c>
      <c r="H454" s="30">
        <f>IF(OR(B454=0,B453=0),"-",(B454-B453)/B453)</f>
        <v/>
      </c>
    </row>
    <row r="455" ht="17" customHeight="1">
      <c r="A455" s="26" t="n"/>
      <c r="B455" s="27" t="n"/>
      <c r="C455" s="28" t="n"/>
      <c r="D455" s="27" t="n"/>
      <c r="E455" s="28" t="n"/>
      <c r="F455" s="31">
        <f>IF(B455=0,"-",B455-D455)</f>
        <v/>
      </c>
      <c r="G455" s="32">
        <f>IF(B455=0,"-",(B455-D455)/B455)</f>
        <v/>
      </c>
      <c r="H455" s="32">
        <f>IF(OR(B455=0,B454=0),"-",(B455-B454)/B454)</f>
        <v/>
      </c>
    </row>
    <row r="456" ht="17" customHeight="1">
      <c r="A456" s="26" t="n"/>
      <c r="B456" s="27" t="n"/>
      <c r="C456" s="28" t="n"/>
      <c r="D456" s="27" t="n"/>
      <c r="E456" s="28" t="n"/>
      <c r="F456" s="29">
        <f>IF(B456=0,"-",B456-D456)</f>
        <v/>
      </c>
      <c r="G456" s="30">
        <f>IF(B456=0,"-",(B456-D456)/B456)</f>
        <v/>
      </c>
      <c r="H456" s="30">
        <f>IF(OR(B456=0,B455=0),"-",(B456-B455)/B455)</f>
        <v/>
      </c>
    </row>
    <row r="457" ht="26" customHeight="1">
      <c r="A457" s="33" t="inlineStr">
        <is>
          <t>TOTAAL</t>
        </is>
      </c>
      <c r="B457" s="34">
        <f>SUM(B2:B456)</f>
        <v/>
      </c>
      <c r="C457" s="34">
        <f>SUM(C2:C456)</f>
        <v/>
      </c>
      <c r="D457" s="34">
        <f>SUM(D2:D456)</f>
        <v/>
      </c>
      <c r="E457" s="34">
        <f>SUM(E2:E456)</f>
        <v/>
      </c>
      <c r="F457" s="34">
        <f>SUM(F2:F456)</f>
        <v/>
      </c>
      <c r="G457" s="35">
        <f>IFERROR(AVERAGE(G2:G456),"-")</f>
        <v/>
      </c>
      <c r="H457" s="35" t="inlineStr">
        <is>
          <t>"-"</t>
        </is>
      </c>
    </row>
  </sheetData>
  <conditionalFormatting sqref="B2:B456">
    <cfRule type="dataBar" priority="1">
      <dataBar showValue="1">
        <cfvo type="min"/>
        <cfvo type="max"/>
        <color rgb="003B82F6"/>
      </dataBar>
    </cfRule>
  </conditionalFormatting>
  <conditionalFormatting sqref="G2:G456">
    <cfRule type="colorScale" priority="2">
      <colorScale>
        <cfvo type="min"/>
        <cfvo type="num" val="0.3"/>
        <cfvo type="max"/>
        <color rgb="00FCA5A5"/>
        <color rgb="00FCD34D"/>
        <color rgb="0086EFAC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3" customWidth="1" min="4" max="4"/>
    <col width="34" customWidth="1" min="5" max="5"/>
  </cols>
  <sheetData>
    <row r="1" ht="34" customHeight="1">
      <c r="A1" s="16" t="inlineStr">
        <is>
          <t>Kostenpost</t>
        </is>
      </c>
      <c r="B1" s="17" t="inlineStr">
        <is>
          <t>Bedrag
(€)</t>
        </is>
      </c>
      <c r="C1" s="17" t="inlineStr">
        <is>
          <t>Budget
(€, optioneel)</t>
        </is>
      </c>
      <c r="D1" s="18" t="inlineStr">
        <is>
          <t>% van Totaal
(auto)</t>
        </is>
      </c>
      <c r="E1" s="16" t="inlineStr">
        <is>
          <t>Toelichting</t>
        </is>
      </c>
    </row>
    <row r="2" ht="22" customHeight="1">
      <c r="A2" s="36" t="inlineStr">
        <is>
          <t>Personeelskosten</t>
        </is>
      </c>
      <c r="B2" s="20" t="n">
        <v>44200</v>
      </c>
      <c r="C2" s="20" t="n">
        <v>46000</v>
      </c>
      <c r="D2" s="37">
        <f>IFERROR(B2/SUM($B$2:$B$9),"-")</f>
        <v/>
      </c>
      <c r="E2" s="38" t="inlineStr">
        <is>
          <t>Salarissen, sociale lasten, pensioen</t>
        </is>
      </c>
    </row>
    <row r="3" ht="22" customHeight="1">
      <c r="A3" s="13" t="inlineStr">
        <is>
          <t>Inkoopkosten / COGS</t>
        </is>
      </c>
      <c r="B3" s="20" t="n">
        <v>19300</v>
      </c>
      <c r="C3" s="20" t="n">
        <v>20000</v>
      </c>
      <c r="D3" s="39">
        <f>IFERROR(B3/SUM($B$2:$B$9),"-")</f>
        <v/>
      </c>
      <c r="E3" s="40" t="inlineStr">
        <is>
          <t>Materiaal, inkoop goederen/diensten</t>
        </is>
      </c>
    </row>
    <row r="4" ht="22" customHeight="1">
      <c r="A4" s="36" t="inlineStr">
        <is>
          <t>Huisvestingskosten</t>
        </is>
      </c>
      <c r="B4" s="20" t="n">
        <v>8100</v>
      </c>
      <c r="C4" s="20" t="n">
        <v>8000</v>
      </c>
      <c r="D4" s="37">
        <f>IFERROR(B4/SUM($B$2:$B$9),"-")</f>
        <v/>
      </c>
      <c r="E4" s="38" t="inlineStr">
        <is>
          <t>Huur, energie, schoonmaak</t>
        </is>
      </c>
    </row>
    <row r="5" ht="22" customHeight="1">
      <c r="A5" s="13" t="inlineStr">
        <is>
          <t>Marketing &amp; Sales</t>
        </is>
      </c>
      <c r="B5" s="20" t="n">
        <v>4900</v>
      </c>
      <c r="C5" s="20" t="n">
        <v>6000</v>
      </c>
      <c r="D5" s="39">
        <f>IFERROR(B5/SUM($B$2:$B$9),"-")</f>
        <v/>
      </c>
      <c r="E5" s="40" t="inlineStr">
        <is>
          <t>Advertenties, events, CRM</t>
        </is>
      </c>
    </row>
    <row r="6" ht="22" customHeight="1">
      <c r="A6" s="36" t="inlineStr">
        <is>
          <t>ICT &amp; Software</t>
        </is>
      </c>
      <c r="B6" s="20" t="n">
        <v>2800</v>
      </c>
      <c r="C6" s="20" t="n">
        <v>3000</v>
      </c>
      <c r="D6" s="37">
        <f>IFERROR(B6/SUM($B$2:$B$9),"-")</f>
        <v/>
      </c>
      <c r="E6" s="38" t="inlineStr">
        <is>
          <t>Licenties, hosting, hardware</t>
        </is>
      </c>
    </row>
    <row r="7" ht="22" customHeight="1">
      <c r="A7" s="13" t="inlineStr">
        <is>
          <t>Financiële kosten</t>
        </is>
      </c>
      <c r="B7" s="20" t="n">
        <v>1200</v>
      </c>
      <c r="C7" s="20" t="n">
        <v>1500</v>
      </c>
      <c r="D7" s="39">
        <f>IFERROR(B7/SUM($B$2:$B$9),"-")</f>
        <v/>
      </c>
      <c r="E7" s="40" t="inlineStr">
        <is>
          <t>Accountant, advies, bank</t>
        </is>
      </c>
    </row>
    <row r="8" ht="22" customHeight="1">
      <c r="A8" s="36" t="inlineStr">
        <is>
          <t>Afschrijvingen</t>
        </is>
      </c>
      <c r="B8" s="20" t="n">
        <v>1400</v>
      </c>
      <c r="C8" s="20" t="n">
        <v>1400</v>
      </c>
      <c r="D8" s="37">
        <f>IFERROR(B8/SUM($B$2:$B$9),"-")</f>
        <v/>
      </c>
      <c r="E8" s="38" t="inlineStr">
        <is>
          <t>Inventaris, machines (maandbedrag)</t>
        </is>
      </c>
    </row>
    <row r="9" ht="22" customHeight="1">
      <c r="A9" s="13" t="inlineStr">
        <is>
          <t>Overige kosten</t>
        </is>
      </c>
      <c r="B9" s="20" t="n">
        <v>900</v>
      </c>
      <c r="C9" s="20" t="n">
        <v>1000</v>
      </c>
      <c r="D9" s="39">
        <f>IFERROR(B9/SUM($B$2:$B$9),"-")</f>
        <v/>
      </c>
      <c r="E9" s="40" t="inlineStr">
        <is>
          <t>Overige operationele kosten</t>
        </is>
      </c>
    </row>
    <row r="10" ht="20" customHeight="1">
      <c r="A10" s="41" t="n"/>
      <c r="B10" s="27" t="n"/>
      <c r="C10" s="27" t="n"/>
      <c r="D10" s="41" t="n"/>
      <c r="E10" s="41" t="n"/>
    </row>
    <row r="11" ht="20" customHeight="1">
      <c r="A11" s="42" t="n"/>
      <c r="B11" s="27" t="n"/>
      <c r="C11" s="27" t="n"/>
      <c r="D11" s="42" t="n"/>
      <c r="E11" s="42" t="n"/>
    </row>
    <row r="12" ht="20" customHeight="1">
      <c r="A12" s="41" t="n"/>
      <c r="B12" s="27" t="n"/>
      <c r="C12" s="27" t="n"/>
      <c r="D12" s="41" t="n"/>
      <c r="E12" s="41" t="n"/>
    </row>
    <row r="13" ht="20" customHeight="1">
      <c r="A13" s="42" t="n"/>
      <c r="B13" s="27" t="n"/>
      <c r="C13" s="27" t="n"/>
      <c r="D13" s="42" t="n"/>
      <c r="E13" s="42" t="n"/>
    </row>
    <row r="14" ht="20" customHeight="1">
      <c r="A14" s="41" t="n"/>
      <c r="B14" s="27" t="n"/>
      <c r="C14" s="27" t="n"/>
      <c r="D14" s="41" t="n"/>
      <c r="E14" s="41" t="n"/>
    </row>
    <row r="15" ht="20" customHeight="1">
      <c r="A15" s="42" t="n"/>
      <c r="B15" s="27" t="n"/>
      <c r="C15" s="27" t="n"/>
      <c r="D15" s="42" t="n"/>
      <c r="E15" s="42" t="n"/>
    </row>
    <row r="16" ht="26" customHeight="1">
      <c r="A16" s="43" t="inlineStr">
        <is>
          <t>TOTAAL</t>
        </is>
      </c>
      <c r="B16" s="44">
        <f>SUM(B2:B15)</f>
        <v/>
      </c>
      <c r="C16" s="44">
        <f>SUM(C2:C15)</f>
        <v/>
      </c>
      <c r="D16" s="45">
        <f>1</f>
        <v/>
      </c>
      <c r="E16" s="46" t="n"/>
    </row>
    <row r="18" ht="44" customHeight="1">
      <c r="A18" s="47" t="inlineStr">
        <is>
          <t xml:space="preserve">  ℹ  Vul de TOTALE kosten per categorie in over dezelfde periode als je Dagdata. Pas de categorienamen gerust aan naar je eigen situatie. Gebruik de lege rijen voor extra kostenposten.</t>
        </is>
      </c>
    </row>
  </sheetData>
  <mergeCells count="1">
    <mergeCell ref="A18:E18"/>
  </mergeCells>
  <conditionalFormatting sqref="B2:B15">
    <cfRule type="dataBar" priority="1">
      <dataBar showValue="1">
        <cfvo type="min"/>
        <cfvo type="max"/>
        <color rgb="0022C55E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40" customWidth="1" min="4" max="4"/>
  </cols>
  <sheetData>
    <row r="1" ht="30" customHeight="1">
      <c r="A1" s="16" t="inlineStr">
        <is>
          <t>Balanspost</t>
        </is>
      </c>
      <c r="B1" s="17" t="inlineStr">
        <is>
          <t>Huidig (€)</t>
        </is>
      </c>
      <c r="C1" s="17" t="inlineStr">
        <is>
          <t>Vorige periode (€)</t>
        </is>
      </c>
      <c r="D1" s="16" t="inlineStr">
        <is>
          <t>Toelichting</t>
        </is>
      </c>
    </row>
    <row r="2" ht="22" customHeight="1">
      <c r="A2" s="48" t="inlineStr">
        <is>
          <t xml:space="preserve">  VLOTTENDE ACTIVA</t>
        </is>
      </c>
    </row>
    <row r="3" ht="22" customHeight="1">
      <c r="A3" s="49" t="inlineStr">
        <is>
          <t>Debiteuren (openstaande facturen)</t>
        </is>
      </c>
      <c r="B3" s="20" t="n">
        <v>48500</v>
      </c>
      <c r="C3" s="20" t="n">
        <v>42300</v>
      </c>
      <c r="D3" s="40" t="inlineStr">
        <is>
          <t>Openstaande vorderingen op klanten</t>
        </is>
      </c>
    </row>
    <row r="4" ht="22" customHeight="1">
      <c r="A4" s="50" t="inlineStr">
        <is>
          <t>Kas &amp; Banktegoeden</t>
        </is>
      </c>
      <c r="B4" s="20" t="n">
        <v>32000</v>
      </c>
      <c r="C4" s="20" t="n">
        <v>28500</v>
      </c>
      <c r="D4" s="38" t="inlineStr">
        <is>
          <t>Direct beschikbare liquide middelen</t>
        </is>
      </c>
    </row>
    <row r="5" ht="22" customHeight="1">
      <c r="A5" s="49" t="inlineStr">
        <is>
          <t>Voorraad</t>
        </is>
      </c>
      <c r="B5" s="20" t="n">
        <v>15200</v>
      </c>
      <c r="C5" s="20" t="n">
        <v>17800</v>
      </c>
      <c r="D5" s="40" t="inlineStr">
        <is>
          <t>Waarde aanwezige voorraad</t>
        </is>
      </c>
    </row>
    <row r="6" ht="22" customHeight="1">
      <c r="A6" s="50" t="inlineStr">
        <is>
          <t>Overige vlottende activa</t>
        </is>
      </c>
      <c r="B6" s="20" t="n">
        <v>4800</v>
      </c>
      <c r="C6" s="20" t="n">
        <v>3900</v>
      </c>
      <c r="D6" s="38" t="inlineStr">
        <is>
          <t>Vooruitbetaalde kosten e.d.</t>
        </is>
      </c>
    </row>
    <row r="7" ht="22" customHeight="1">
      <c r="A7" s="51" t="inlineStr">
        <is>
          <t xml:space="preserve">  KORTLOPENDE SCHULDEN</t>
        </is>
      </c>
    </row>
    <row r="8" ht="22" customHeight="1">
      <c r="A8" s="50" t="inlineStr">
        <is>
          <t>Crediteuren (te betalen facturen)</t>
        </is>
      </c>
      <c r="B8" s="20" t="n">
        <v>22400</v>
      </c>
      <c r="C8" s="20" t="n">
        <v>19800</v>
      </c>
      <c r="D8" s="38" t="inlineStr">
        <is>
          <t>Schulden aan leveranciers</t>
        </is>
      </c>
    </row>
    <row r="9" ht="22" customHeight="1">
      <c r="A9" s="49" t="inlineStr">
        <is>
          <t>Belastingschulden (BTW, LB)</t>
        </is>
      </c>
      <c r="B9" s="20" t="n">
        <v>8200</v>
      </c>
      <c r="C9" s="20" t="n">
        <v>7600</v>
      </c>
      <c r="D9" s="40" t="inlineStr">
        <is>
          <t>Nog te betalen belastingen</t>
        </is>
      </c>
    </row>
    <row r="10" ht="22" customHeight="1">
      <c r="A10" s="50" t="inlineStr">
        <is>
          <t>Overige kortlopende schulden</t>
        </is>
      </c>
      <c r="B10" s="20" t="n">
        <v>3100</v>
      </c>
      <c r="C10" s="20" t="n">
        <v>2800</v>
      </c>
      <c r="D10" s="38" t="inlineStr">
        <is>
          <t>Overige schulden &lt; 1 jaar</t>
        </is>
      </c>
    </row>
    <row r="11" ht="22" customHeight="1">
      <c r="A11" s="52" t="inlineStr">
        <is>
          <t xml:space="preserve">  AANVULLEND</t>
        </is>
      </c>
    </row>
    <row r="12" ht="22" customHeight="1">
      <c r="A12" s="53" t="inlineStr">
        <is>
          <t>Omzet afgelopen 12 maanden</t>
        </is>
      </c>
      <c r="B12" s="54" t="n">
        <v>1180000</v>
      </c>
      <c r="C12" s="54" t="n">
        <v>1050000</v>
      </c>
      <c r="D12" s="55" t="inlineStr">
        <is>
          <t>VERPLICHT — totale jaaromzet, nodig voor DSO</t>
        </is>
      </c>
    </row>
    <row r="13" ht="22" customHeight="1">
      <c r="A13" s="49" t="inlineStr">
        <is>
          <t>Betalingstermijn klanten (dagen)</t>
        </is>
      </c>
      <c r="B13" s="20" t="n">
        <v>30</v>
      </c>
      <c r="C13" s="20" t="n">
        <v>30</v>
      </c>
      <c r="D13" s="40" t="inlineStr">
        <is>
          <t>Afgesproken betaaltermijn met klanten</t>
        </is>
      </c>
    </row>
  </sheetData>
  <mergeCells count="3">
    <mergeCell ref="A7:D7"/>
    <mergeCell ref="A2:D2"/>
    <mergeCell ref="A11:D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E10"/>
  <sheetViews>
    <sheetView showGridLines="0" showRowColHeader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0" customWidth="1" min="3" max="3"/>
    <col width="26" customWidth="1" min="4" max="4"/>
    <col width="20" customWidth="1" min="5" max="5"/>
  </cols>
  <sheetData>
    <row r="1" ht="46" customHeight="1">
      <c r="B1" s="56" t="inlineStr">
        <is>
          <t xml:space="preserve">  Resultaat — Automatische Samenvatting</t>
        </is>
      </c>
    </row>
    <row r="2" ht="20" customHeight="1">
      <c r="B2" s="57" t="inlineStr">
        <is>
          <t xml:space="preserve">  Berekend uit Dagdata — niet aanpassen</t>
        </is>
      </c>
    </row>
    <row r="3" ht="12" customHeight="1"/>
    <row r="4" ht="58" customHeight="1">
      <c r="B4" s="58" t="inlineStr">
        <is>
          <t>Totaal Omzet</t>
        </is>
      </c>
      <c r="C4" s="59">
        <f>SUM('2. Dagdata'!B2:B1000)</f>
        <v/>
      </c>
      <c r="D4" s="60" t="inlineStr">
        <is>
          <t>Totaal Kosten</t>
        </is>
      </c>
      <c r="E4" s="61">
        <f>SUM('2. Dagdata'!D2:D1000)</f>
        <v/>
      </c>
    </row>
    <row r="5" ht="6" customHeight="1"/>
    <row r="6" ht="58" customHeight="1">
      <c r="B6" s="62" t="inlineStr">
        <is>
          <t>Totaal Marge</t>
        </is>
      </c>
      <c r="C6" s="63">
        <f>SUM('2. Dagdata'!F2:F1000)</f>
        <v/>
      </c>
      <c r="D6" s="62" t="inlineStr">
        <is>
          <t>Gem. Marge %</t>
        </is>
      </c>
      <c r="E6" s="64">
        <f>IFERROR(AVERAGE('2. Dagdata'!G2:G1000),0)</f>
        <v/>
      </c>
    </row>
    <row r="7" ht="6" customHeight="1"/>
    <row r="8" ht="58" customHeight="1">
      <c r="B8" s="65" t="inlineStr">
        <is>
          <t>Gem. Dagomzet</t>
        </is>
      </c>
      <c r="C8" s="66">
        <f>IFERROR(AVERAGEIF('2. Dagdata'!B2:B1000,"&gt;0"),0)</f>
        <v/>
      </c>
      <c r="D8" s="58" t="inlineStr">
        <is>
          <t>Totaal Banksaldo</t>
        </is>
      </c>
      <c r="E8" s="59">
        <f>SUM('2. Dagdata'!E2:E1000)</f>
        <v/>
      </c>
    </row>
    <row r="9" ht="6" customHeight="1"/>
    <row r="10" ht="58" customHeight="1">
      <c r="B10" s="67" t="inlineStr">
        <is>
          <t>Budget realisatie</t>
        </is>
      </c>
      <c r="C10" s="68">
        <f>IFERROR(SUM('2. Dagdata'!B2:B1000)/SUM('2. Dagdata'!C2:C1000),0)</f>
        <v/>
      </c>
      <c r="D10" s="62" t="inlineStr">
        <is>
          <t>Beste dag omzet</t>
        </is>
      </c>
      <c r="E10" s="63">
        <f>MAX('2. Dagdata'!B2:B1000)</f>
        <v/>
      </c>
    </row>
    <row r="11" ht="6" customHeight="1"/>
  </sheetData>
  <mergeCells count="2">
    <mergeCell ref="B1:E1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2026-05-17T11:33:41Z</dcterms:created>
  <dcterms:modified xmlns:dcterms="http://purl.org/dc/terms/" xmlns:xsi="http://www.w3.org/2001/XMLSchema-instance" xsi:type="dcterms:W3CDTF">2026-05-17T11:33:41Z</dcterms:modified>
</cp:coreProperties>
</file>