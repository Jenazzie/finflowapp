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ties" sheetId="1" state="visible" r:id="rId3"/>
    <sheet name="📊 Dagdata" sheetId="2" state="visible" r:id="rId4"/>
    <sheet name="🏷️ Kostendata" sheetId="3" state="visible" r:id="rId5"/>
    <sheet name="🏦 Balans" sheetId="4" state="visible" r:id="rId6"/>
    <sheet name="⚙️ Instelling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<sst xmlns="http://schemas.openxmlformats.org/spreadsheetml/2006/main" count="109" uniqueCount="103">
  <si>
    <t xml:space="preserve">  FinFlowApp — Dagelijks Upload Sjabloon</t>
  </si>
  <si>
    <t xml:space="preserve">  Voer dagelijkse omzet en kosten in voor realtime financieel inzicht</t>
  </si>
  <si>
    <t xml:space="preserve">  📊 Dagdata</t>
  </si>
  <si>
    <t xml:space="preserve">VERPLICHT</t>
  </si>
  <si>
    <t xml:space="preserve">Dagelijkse omzet, kosten en cashflow — het hart van het dashboard</t>
  </si>
  <si>
    <t xml:space="preserve">  🏷️ Kostendata</t>
  </si>
  <si>
    <t xml:space="preserve">AANBEVOLEN</t>
  </si>
  <si>
    <t xml:space="preserve">Uitsplitsing van kosten per categorie voor de huidige periode</t>
  </si>
  <si>
    <t xml:space="preserve">  🏦 Balans</t>
  </si>
  <si>
    <t xml:space="preserve">Debiteuren, crediteuren, kas — voor ratio's en liquiditeitsanalyse</t>
  </si>
  <si>
    <t xml:space="preserve">  ⚙️ Instellingen</t>
  </si>
  <si>
    <t xml:space="preserve">OPTIONEEL</t>
  </si>
  <si>
    <t xml:space="preserve">Bedrijfsnaam, sector en contactpersoon</t>
  </si>
  <si>
    <t xml:space="preserve">  Kleurlegenda &amp; Regels</t>
  </si>
  <si>
    <t xml:space="preserve">   Blauw = Invoercel — vul hier jouw eigen cijfers in</t>
  </si>
  <si>
    <t xml:space="preserve">   Groen = Automatisch berekend — niet aanpassen</t>
  </si>
  <si>
    <t xml:space="preserve">   Grijs = Label of header — niet aanpassen</t>
  </si>
  <si>
    <t xml:space="preserve">   Datum formaat: DD-MM-YYYY (bijv. 01-01-2025)</t>
  </si>
  <si>
    <t xml:space="preserve">   Bedragen als getal invoeren — geen €-teken of punten</t>
  </si>
  <si>
    <t xml:space="preserve">   Lege rijen overslaan is OK — dashboard slaat lege dagen over</t>
  </si>
  <si>
    <t xml:space="preserve">  📊 FinFlowApp — Dagelijkse Financiële Data</t>
  </si>
  <si>
    <t xml:space="preserve">  Vul blauwe cellen in. Zwarte cellen worden automatisch berekend.</t>
  </si>
  <si>
    <t xml:space="preserve">← Invoer</t>
  </si>
  <si>
    <t xml:space="preserve">← Automatisch berekend</t>
  </si>
  <si>
    <t xml:space="preserve">Datum</t>
  </si>
  <si>
    <t xml:space="preserve">Omzet (€)</t>
  </si>
  <si>
    <t xml:space="preserve">Budget (€)</t>
  </si>
  <si>
    <t xml:space="preserve">Kosten (€)</t>
  </si>
  <si>
    <t xml:space="preserve">Cashflow (€)</t>
  </si>
  <si>
    <t xml:space="preserve">Bruto marge</t>
  </si>
  <si>
    <t xml:space="preserve">Marge %</t>
  </si>
  <si>
    <t xml:space="preserve">Δ vs gisteren</t>
  </si>
  <si>
    <t xml:space="preserve">"-"</t>
  </si>
  <si>
    <t xml:space="preserve">TOTAAL / GEM.</t>
  </si>
  <si>
    <t xml:space="preserve">  🏷️ Kostendata — Uitsplitsing per categorie</t>
  </si>
  <si>
    <t xml:space="preserve">  Vul de kosten per categorie in voor de meest recente periode</t>
  </si>
  <si>
    <t xml:space="preserve">Categorie</t>
  </si>
  <si>
    <t xml:space="preserve">Bedrag (€)</t>
  </si>
  <si>
    <t xml:space="preserve">% van Totaal</t>
  </si>
  <si>
    <t xml:space="preserve">Toelichting</t>
  </si>
  <si>
    <t xml:space="preserve">Personeelskosten</t>
  </si>
  <si>
    <t xml:space="preserve">Salarissen, sociale lasten, pensioen</t>
  </si>
  <si>
    <t xml:space="preserve">Inkoopkosten / COGS</t>
  </si>
  <si>
    <t xml:space="preserve">Materiaal, inkoop goederen/diensten</t>
  </si>
  <si>
    <t xml:space="preserve">Huisvestingskosten</t>
  </si>
  <si>
    <t xml:space="preserve">Huur, energie, schoonmaak</t>
  </si>
  <si>
    <t xml:space="preserve">Marketing &amp; Sales</t>
  </si>
  <si>
    <t xml:space="preserve">Advertenties, events, CRM</t>
  </si>
  <si>
    <t xml:space="preserve">ICT &amp; Software</t>
  </si>
  <si>
    <t xml:space="preserve">Licenties, hosting, hardware</t>
  </si>
  <si>
    <t xml:space="preserve">Financiële kosten</t>
  </si>
  <si>
    <t xml:space="preserve">Accountant, advies, bank</t>
  </si>
  <si>
    <t xml:space="preserve">Afschrijvingen</t>
  </si>
  <si>
    <t xml:space="preserve">Inventaris, machines</t>
  </si>
  <si>
    <t xml:space="preserve">Overige kosten</t>
  </si>
  <si>
    <t xml:space="preserve">Overige operationele kosten</t>
  </si>
  <si>
    <t xml:space="preserve">TOTAAL</t>
  </si>
  <si>
    <t xml:space="preserve">100,0%</t>
  </si>
  <si>
    <t xml:space="preserve">  🏦 Balans — Liquiditeit &amp; Werkkapitaal</t>
  </si>
  <si>
    <t xml:space="preserve">  Momentopname van balansposities — voor DSO, current ratio en kasdekking</t>
  </si>
  <si>
    <t xml:space="preserve">Balanspost</t>
  </si>
  <si>
    <t xml:space="preserve">Huidig bedrag (€)</t>
  </si>
  <si>
    <t xml:space="preserve">Vorige periode (€)</t>
  </si>
  <si>
    <t xml:space="preserve">  VLOTTENDE ACTIVA</t>
  </si>
  <si>
    <t xml:space="preserve">Debiteuren (openstaande facturen)</t>
  </si>
  <si>
    <t xml:space="preserve">Totaal openstaande vorderingen</t>
  </si>
  <si>
    <t xml:space="preserve">Kas &amp; Banktegoeden</t>
  </si>
  <si>
    <t xml:space="preserve">Direct beschikbare liquide middelen</t>
  </si>
  <si>
    <t xml:space="preserve">Voorraad</t>
  </si>
  <si>
    <t xml:space="preserve">Waarde van de aanwezige voorraad</t>
  </si>
  <si>
    <t xml:space="preserve">Overige vlottende activa</t>
  </si>
  <si>
    <t xml:space="preserve">Vooruitbetaalde kosten</t>
  </si>
  <si>
    <t xml:space="preserve">  KORTLOPENDE SCHULDEN</t>
  </si>
  <si>
    <t xml:space="preserve">Crediteuren (te betalen facturen)</t>
  </si>
  <si>
    <t xml:space="preserve">Openstaande schulden aan leveranciers</t>
  </si>
  <si>
    <t xml:space="preserve">Belastingschulden (BTW, LB)</t>
  </si>
  <si>
    <t xml:space="preserve">Nog te betalen belastingen</t>
  </si>
  <si>
    <t xml:space="preserve">Overige kortlopende schulden</t>
  </si>
  <si>
    <t xml:space="preserve">Overige schulden &lt; 1 jaar</t>
  </si>
  <si>
    <t xml:space="preserve">  AANVULLENDE INFORMATIE</t>
  </si>
  <si>
    <t xml:space="preserve">Omzet afgelopen 12 maanden (€)</t>
  </si>
  <si>
    <t xml:space="preserve">Voor DSO-berekening</t>
  </si>
  <si>
    <t xml:space="preserve">Gemiddelde betalingstermijn klanten (dagen)</t>
  </si>
  <si>
    <t xml:space="preserve">Contractuele betalingstermijn</t>
  </si>
  <si>
    <t xml:space="preserve">Gemiddelde betalingstermijn leveranciers (dgn)</t>
  </si>
  <si>
    <t xml:space="preserve">  Bedrijfsinformatie voor rapportageheader</t>
  </si>
  <si>
    <t xml:space="preserve">  BEDRIJFSINFORMATIE</t>
  </si>
  <si>
    <t xml:space="preserve">Bedrijfsnaam</t>
  </si>
  <si>
    <t xml:space="preserve">Bakker &amp; Zonen B.V.</t>
  </si>
  <si>
    <t xml:space="preserve">KvK-nummer</t>
  </si>
  <si>
    <t xml:space="preserve">12345678</t>
  </si>
  <si>
    <t xml:space="preserve">Sector</t>
  </si>
  <si>
    <t xml:space="preserve">Groothandel</t>
  </si>
  <si>
    <t xml:space="preserve">  RAPPORTAGE</t>
  </si>
  <si>
    <t xml:space="preserve">Data type</t>
  </si>
  <si>
    <t xml:space="preserve">Dagelijks</t>
  </si>
  <si>
    <t xml:space="preserve">Valuta</t>
  </si>
  <si>
    <t xml:space="preserve">Euro (€)</t>
  </si>
  <si>
    <t xml:space="preserve">  CONTACT</t>
  </si>
  <si>
    <t xml:space="preserve">Contactpersoon</t>
  </si>
  <si>
    <t xml:space="preserve">Jan de Vries</t>
  </si>
  <si>
    <t xml:space="preserve">E-mail</t>
  </si>
  <si>
    <t xml:space="preserve">jan@bedrijf.nl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</si>
</sst>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\€#,##0;&quot;(€&quot;#,##0\);\-"/>
    <numFmt numFmtId="167" formatCode="0.0%;\(0.0%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8892A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34D399"/>
      <name val="Calibri"/>
      <family val="0"/>
      <charset val="1"/>
    </font>
    <font>
      <sz val="9"/>
      <color rgb="FF8892AA"/>
      <name val="Calibri"/>
      <family val="0"/>
      <charset val="1"/>
    </font>
    <font>
      <b val="true"/>
      <sz val="9"/>
      <color rgb="FF8892AA"/>
      <name val="Calibri"/>
      <family val="0"/>
      <charset val="1"/>
    </font>
    <font>
      <sz val="9"/>
      <color rgb="FF1E40AF"/>
      <name val="Calibri"/>
      <family val="0"/>
      <charset val="1"/>
    </font>
    <font>
      <sz val="9"/>
      <color rgb="FF166534"/>
      <name val="Calibri"/>
      <family val="0"/>
      <charset val="1"/>
    </font>
    <font>
      <sz val="9"/>
      <color rgb="FFC43D3D"/>
      <name val="Calibri"/>
      <family val="0"/>
      <charset val="1"/>
    </font>
    <font>
      <i val="true"/>
      <sz val="8"/>
      <color rgb="FF8892A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E2E8F8"/>
      <name val="Calibri"/>
      <family val="0"/>
      <charset val="1"/>
    </font>
    <font>
      <sz val="10"/>
      <color rgb="FF1E40AF"/>
      <name val="Calibri"/>
      <family val="0"/>
      <charset val="1"/>
    </font>
    <font>
      <sz val="10"/>
      <color rgb="FF166534"/>
      <name val="Calibri"/>
      <family val="0"/>
      <charset val="1"/>
    </font>
    <font>
      <b val="true"/>
      <sz val="10"/>
      <color rgb="FF4F8EF7"/>
      <name val="Calibri"/>
      <family val="0"/>
      <charset val="1"/>
    </font>
    <font>
      <b val="true"/>
      <sz val="10"/>
      <color rgb="FF166534"/>
      <name val="Calibri"/>
      <family val="0"/>
      <charset val="1"/>
    </font>
    <font>
      <sz val="10"/>
      <color rgb="FFE2E8F8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F8EF7"/>
        <bgColor rgb="FF0EA5E9"/>
      </patternFill>
    </fill>
    <fill>
      <patternFill patternType="solid">
        <fgColor rgb="FF1A1F2E"/>
        <bgColor rgb="FF0F1318"/>
      </patternFill>
    </fill>
    <fill>
      <patternFill patternType="solid">
        <fgColor rgb="FF0F1318"/>
        <bgColor rgb="FF1A1F2E"/>
      </patternFill>
    </fill>
    <fill>
      <patternFill patternType="solid">
        <fgColor rgb="FF34D399"/>
        <bgColor rgb="FF339966"/>
      </patternFill>
    </fill>
    <fill>
      <patternFill patternType="solid">
        <fgColor rgb="FF0EA5E9"/>
        <bgColor rgb="FF4F8EF7"/>
      </patternFill>
    </fill>
    <fill>
      <patternFill patternType="solid">
        <fgColor rgb="FFA78BFA"/>
        <bgColor rgb="FFCC99FF"/>
      </patternFill>
    </fill>
    <fill>
      <patternFill patternType="solid">
        <fgColor rgb="FFEFF6FF"/>
        <bgColor rgb="FFF0FFF8"/>
      </patternFill>
    </fill>
    <fill>
      <patternFill patternType="solid">
        <fgColor rgb="FFF0FFF8"/>
        <bgColor rgb="FFEFF6FF"/>
      </patternFill>
    </fill>
    <fill>
      <patternFill patternType="solid">
        <fgColor rgb="FFFBBF24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A78BFA"/>
      <rgbColor rgb="FFC43D3D"/>
      <rgbColor rgb="FFF0FFF8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E2E8F8"/>
      <rgbColor rgb="FFCCFFCC"/>
      <rgbColor rgb="FFFFFF99"/>
      <rgbColor rgb="FF99CCFF"/>
      <rgbColor rgb="FFFF99CC"/>
      <rgbColor rgb="FFCC99FF"/>
      <rgbColor rgb="FFFFCC99"/>
      <rgbColor rgb="FF4F8EF7"/>
      <rgbColor rgb="FF34D399"/>
      <rgbColor rgb="FF99CC00"/>
      <rgbColor rgb="FFFBBF24"/>
      <rgbColor rgb="FFFF9900"/>
      <rgbColor rgb="FFFF6600"/>
      <rgbColor rgb="FF666699"/>
      <rgbColor rgb="FF8892AA"/>
      <rgbColor rgb="FF003366"/>
      <rgbColor rgb="FF339966"/>
      <rgbColor rgb="FF0F1318"/>
      <rgbColor rgb="FF333300"/>
      <rgbColor rgb="FF993300"/>
      <rgbColor rgb="FF993366"/>
      <rgbColor rgb="FF1E40AF"/>
      <rgbColor rgb="FF1A1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36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3" customFormat="false" ht="9.75" hidden="false" customHeight="true" outlineLevel="0" collapsed="false"/>
    <row r="4" customFormat="false" ht="21.75" hidden="false" customHeight="true" outlineLevel="0" collapsed="false">
      <c r="B4" s="3" t="s">
        <v>2</v>
      </c>
      <c r="C4" s="3"/>
    </row>
    <row r="5" customFormat="false" ht="15.75" hidden="false" customHeight="true" outlineLevel="0" collapsed="false">
      <c r="B5" s="4" t="s">
        <v>3</v>
      </c>
      <c r="C5" s="5" t="s">
        <v>4</v>
      </c>
    </row>
    <row r="6" customFormat="false" ht="6" hidden="false" customHeight="true" outlineLevel="0" collapsed="false"/>
    <row r="7" customFormat="false" ht="21.75" hidden="false" customHeight="true" outlineLevel="0" collapsed="false">
      <c r="B7" s="6" t="s">
        <v>5</v>
      </c>
      <c r="C7" s="6"/>
    </row>
    <row r="8" customFormat="false" ht="15.75" hidden="false" customHeight="true" outlineLevel="0" collapsed="false">
      <c r="B8" s="7" t="s">
        <v>6</v>
      </c>
      <c r="C8" s="5" t="s">
        <v>7</v>
      </c>
    </row>
    <row r="9" customFormat="false" ht="6" hidden="false" customHeight="true" outlineLevel="0" collapsed="false"/>
    <row r="10" customFormat="false" ht="21.75" hidden="false" customHeight="true" outlineLevel="0" collapsed="false">
      <c r="B10" s="8" t="s">
        <v>8</v>
      </c>
      <c r="C10" s="8"/>
    </row>
    <row r="11" customFormat="false" ht="15.75" hidden="false" customHeight="true" outlineLevel="0" collapsed="false">
      <c r="B11" s="7" t="s">
        <v>6</v>
      </c>
      <c r="C11" s="5" t="s">
        <v>9</v>
      </c>
    </row>
    <row r="12" customFormat="false" ht="6" hidden="false" customHeight="true" outlineLevel="0" collapsed="false"/>
    <row r="13" customFormat="false" ht="21.75" hidden="false" customHeight="true" outlineLevel="0" collapsed="false">
      <c r="B13" s="9" t="s">
        <v>10</v>
      </c>
      <c r="C13" s="9"/>
    </row>
    <row r="14" customFormat="false" ht="15.75" hidden="false" customHeight="true" outlineLevel="0" collapsed="false">
      <c r="B14" s="7" t="s">
        <v>11</v>
      </c>
      <c r="C14" s="5" t="s">
        <v>12</v>
      </c>
    </row>
    <row r="15" customFormat="false" ht="6" hidden="false" customHeight="true" outlineLevel="0" collapsed="false"/>
    <row r="16" customFormat="false" ht="7.5" hidden="false" customHeight="true" outlineLevel="0" collapsed="false"/>
    <row r="17" customFormat="false" ht="21.75" hidden="false" customHeight="true" outlineLevel="0" collapsed="false">
      <c r="B17" s="10" t="s">
        <v>13</v>
      </c>
      <c r="C17" s="10"/>
    </row>
    <row r="18" customFormat="false" ht="15.75" hidden="false" customHeight="true" outlineLevel="0" collapsed="false">
      <c r="B18" s="11" t="s">
        <v>14</v>
      </c>
      <c r="C18" s="11"/>
    </row>
    <row r="19" customFormat="false" ht="15.75" hidden="false" customHeight="true" outlineLevel="0" collapsed="false">
      <c r="B19" s="12" t="s">
        <v>15</v>
      </c>
      <c r="C19" s="12"/>
    </row>
    <row r="20" customFormat="false" ht="15.75" hidden="false" customHeight="true" outlineLevel="0" collapsed="false">
      <c r="B20" s="13" t="s">
        <v>16</v>
      </c>
      <c r="C20" s="13"/>
    </row>
    <row r="21" customFormat="false" ht="15.75" hidden="false" customHeight="true" outlineLevel="0" collapsed="false">
      <c r="B21" s="11" t="s">
        <v>17</v>
      </c>
      <c r="C21" s="11"/>
    </row>
    <row r="22" customFormat="false" ht="15.75" hidden="false" customHeight="true" outlineLevel="0" collapsed="false">
      <c r="B22" s="11" t="s">
        <v>18</v>
      </c>
      <c r="C22" s="11"/>
    </row>
    <row r="23" customFormat="false" ht="15.75" hidden="false" customHeight="true" outlineLevel="0" collapsed="false">
      <c r="B23" s="14" t="s">
        <v>19</v>
      </c>
      <c r="C23" s="14"/>
    </row>
  </sheetData>
  <mergeCells count="13">
    <mergeCell ref="A1:B1"/>
    <mergeCell ref="A2:B2"/>
    <mergeCell ref="B4:C4"/>
    <mergeCell ref="B7:C7"/>
    <mergeCell ref="B10:C10"/>
    <mergeCell ref="B13:C13"/>
    <mergeCell ref="B17:C17"/>
    <mergeCell ref="B18:C18"/>
    <mergeCell ref="B19:C19"/>
    <mergeCell ref="B20:C20"/>
    <mergeCell ref="B21:C21"/>
    <mergeCell ref="B22:C2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8" min="6" style="0" width="13"/>
  </cols>
  <sheetData>
    <row r="1" customFormat="false" ht="36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5.75" hidden="false" customHeight="true" outlineLevel="0" collapsed="false">
      <c r="A4" s="15"/>
      <c r="B4" s="16" t="s">
        <v>22</v>
      </c>
      <c r="C4" s="16"/>
      <c r="D4" s="16"/>
      <c r="E4" s="16"/>
      <c r="F4" s="16" t="s">
        <v>23</v>
      </c>
      <c r="G4" s="16"/>
      <c r="H4" s="16"/>
    </row>
    <row r="5" customFormat="false" ht="27.75" hidden="false" customHeight="true" outlineLevel="0" collapsed="false">
      <c r="A5" s="17" t="s">
        <v>24</v>
      </c>
      <c r="B5" s="18" t="s">
        <v>25</v>
      </c>
      <c r="C5" s="19" t="s">
        <v>26</v>
      </c>
      <c r="D5" s="20" t="s">
        <v>27</v>
      </c>
      <c r="E5" s="21" t="s">
        <v>28</v>
      </c>
      <c r="F5" s="22" t="s">
        <v>29</v>
      </c>
      <c r="G5" s="22" t="s">
        <v>30</v>
      </c>
      <c r="H5" s="22" t="s">
        <v>31</v>
      </c>
    </row>
    <row r="6" customFormat="false" ht="18" hidden="false" customHeight="true" outlineLevel="0" collapsed="false">
      <c r="A6" s="23" t="n">
        <v>46068</v>
      </c>
      <c r="B6" s="24" t="n">
        <v>957</v>
      </c>
      <c r="C6" s="24" t="n">
        <v>4410</v>
      </c>
      <c r="D6" s="24" t="n">
        <v>579</v>
      </c>
      <c r="E6" s="24" t="n">
        <v>148</v>
      </c>
      <c r="F6" s="25" t="n">
        <f aca="false">IF(B6=0,"-",B6-D6)</f>
        <v>378</v>
      </c>
      <c r="G6" s="26" t="n">
        <f aca="false">IF(B6=0,"-",(B6-D6)/B6)</f>
        <v>0.394984326018809</v>
      </c>
      <c r="H6" s="26" t="s">
        <v>32</v>
      </c>
    </row>
    <row r="7" customFormat="false" ht="18" hidden="false" customHeight="true" outlineLevel="0" collapsed="false">
      <c r="A7" s="23" t="n">
        <v>46069</v>
      </c>
      <c r="B7" s="24" t="n">
        <v>3596</v>
      </c>
      <c r="C7" s="24" t="n">
        <v>4410</v>
      </c>
      <c r="D7" s="24" t="n">
        <v>2634</v>
      </c>
      <c r="E7" s="24" t="n">
        <v>1026</v>
      </c>
      <c r="F7" s="25" t="n">
        <f aca="false">IF(B7=0,"-",B7-D7)</f>
        <v>962</v>
      </c>
      <c r="G7" s="26" t="n">
        <f aca="false">IF(B7=0,"-",(B7-D7)/B7)</f>
        <v>0.267519466073415</v>
      </c>
      <c r="H7" s="26" t="n">
        <f aca="false">IF(OR(B7=0,B6=0),"-",(B7-B6)/B6)</f>
        <v>2.75757575757576</v>
      </c>
    </row>
    <row r="8" customFormat="false" ht="18" hidden="false" customHeight="true" outlineLevel="0" collapsed="false">
      <c r="A8" s="23" t="n">
        <v>46070</v>
      </c>
      <c r="B8" s="24" t="n">
        <v>5563</v>
      </c>
      <c r="C8" s="24" t="n">
        <v>4410</v>
      </c>
      <c r="D8" s="24" t="n">
        <v>3425</v>
      </c>
      <c r="E8" s="24" t="n">
        <v>1304</v>
      </c>
      <c r="F8" s="25" t="n">
        <f aca="false">IF(B8=0,"-",B8-D8)</f>
        <v>2138</v>
      </c>
      <c r="G8" s="26" t="n">
        <f aca="false">IF(B8=0,"-",(B8-D8)/B8)</f>
        <v>0.384325004493978</v>
      </c>
      <c r="H8" s="26" t="n">
        <f aca="false">IF(OR(B8=0,B7=0),"-",(B8-B7)/B7)</f>
        <v>0.546996662958843</v>
      </c>
    </row>
    <row r="9" customFormat="false" ht="18" hidden="false" customHeight="true" outlineLevel="0" collapsed="false">
      <c r="A9" s="23" t="n">
        <v>46071</v>
      </c>
      <c r="B9" s="24" t="n">
        <v>3028</v>
      </c>
      <c r="C9" s="24" t="n">
        <v>4410</v>
      </c>
      <c r="D9" s="24" t="n">
        <v>1936</v>
      </c>
      <c r="E9" s="24" t="n">
        <v>760</v>
      </c>
      <c r="F9" s="25" t="n">
        <f aca="false">IF(B9=0,"-",B9-D9)</f>
        <v>1092</v>
      </c>
      <c r="G9" s="26" t="n">
        <f aca="false">IF(B9=0,"-",(B9-D9)/B9)</f>
        <v>0.360634081902246</v>
      </c>
      <c r="H9" s="26" t="n">
        <f aca="false">IF(OR(B9=0,B8=0),"-",(B9-B8)/B8)</f>
        <v>-0.455689376235844</v>
      </c>
    </row>
    <row r="10" customFormat="false" ht="18" hidden="false" customHeight="true" outlineLevel="0" collapsed="false">
      <c r="A10" s="23" t="n">
        <v>46072</v>
      </c>
      <c r="B10" s="24" t="n">
        <v>3018</v>
      </c>
      <c r="C10" s="24" t="n">
        <v>4410</v>
      </c>
      <c r="D10" s="24" t="n">
        <v>1919</v>
      </c>
      <c r="E10" s="24" t="n">
        <v>845</v>
      </c>
      <c r="F10" s="25" t="n">
        <f aca="false">IF(B10=0,"-",B10-D10)</f>
        <v>1099</v>
      </c>
      <c r="G10" s="26" t="n">
        <f aca="false">IF(B10=0,"-",(B10-D10)/B10)</f>
        <v>0.36414844267727</v>
      </c>
      <c r="H10" s="26" t="n">
        <f aca="false">IF(OR(B10=0,B9=0),"-",(B10-B9)/B9)</f>
        <v>-0.00330250990752972</v>
      </c>
    </row>
    <row r="11" customFormat="false" ht="18" hidden="false" customHeight="true" outlineLevel="0" collapsed="false">
      <c r="A11" s="23" t="n">
        <v>46073</v>
      </c>
      <c r="B11" s="24" t="n">
        <v>4542</v>
      </c>
      <c r="C11" s="24" t="n">
        <v>4410</v>
      </c>
      <c r="D11" s="24" t="n">
        <v>2905</v>
      </c>
      <c r="E11" s="24" t="n">
        <v>1217</v>
      </c>
      <c r="F11" s="25" t="n">
        <f aca="false">IF(B11=0,"-",B11-D11)</f>
        <v>1637</v>
      </c>
      <c r="G11" s="26" t="n">
        <f aca="false">IF(B11=0,"-",(B11-D11)/B11)</f>
        <v>0.360413914575077</v>
      </c>
      <c r="H11" s="26" t="n">
        <f aca="false">IF(OR(B11=0,B10=0),"-",(B11-B10)/B10)</f>
        <v>0.504970178926441</v>
      </c>
    </row>
    <row r="12" customFormat="false" ht="18" hidden="false" customHeight="true" outlineLevel="0" collapsed="false">
      <c r="A12" s="23" t="n">
        <v>46074</v>
      </c>
      <c r="B12" s="24" t="n">
        <v>1100</v>
      </c>
      <c r="C12" s="24" t="n">
        <v>4410</v>
      </c>
      <c r="D12" s="24" t="n">
        <v>661</v>
      </c>
      <c r="E12" s="24" t="n">
        <v>287</v>
      </c>
      <c r="F12" s="25" t="n">
        <f aca="false">IF(B12=0,"-",B12-D12)</f>
        <v>439</v>
      </c>
      <c r="G12" s="26" t="n">
        <f aca="false">IF(B12=0,"-",(B12-D12)/B12)</f>
        <v>0.399090909090909</v>
      </c>
      <c r="H12" s="26" t="n">
        <f aca="false">IF(OR(B12=0,B11=0),"-",(B12-B11)/B11)</f>
        <v>-0.757815940114487</v>
      </c>
    </row>
    <row r="13" customFormat="false" ht="18" hidden="false" customHeight="true" outlineLevel="0" collapsed="false">
      <c r="A13" s="23" t="n">
        <v>46075</v>
      </c>
      <c r="B13" s="24" t="n">
        <v>1006</v>
      </c>
      <c r="C13" s="24" t="n">
        <v>4410</v>
      </c>
      <c r="D13" s="24" t="n">
        <v>672</v>
      </c>
      <c r="E13" s="24" t="n">
        <v>132</v>
      </c>
      <c r="F13" s="25" t="n">
        <f aca="false">IF(B13=0,"-",B13-D13)</f>
        <v>334</v>
      </c>
      <c r="G13" s="26" t="n">
        <f aca="false">IF(B13=0,"-",(B13-D13)/B13)</f>
        <v>0.332007952286282</v>
      </c>
      <c r="H13" s="26" t="n">
        <f aca="false">IF(OR(B13=0,B12=0),"-",(B13-B12)/B12)</f>
        <v>-0.0854545454545455</v>
      </c>
    </row>
    <row r="14" customFormat="false" ht="18" hidden="false" customHeight="true" outlineLevel="0" collapsed="false">
      <c r="A14" s="23" t="n">
        <v>46076</v>
      </c>
      <c r="B14" s="24" t="n">
        <v>5754</v>
      </c>
      <c r="C14" s="24" t="n">
        <v>4410</v>
      </c>
      <c r="D14" s="24" t="n">
        <v>3801</v>
      </c>
      <c r="E14" s="24" t="n">
        <v>970</v>
      </c>
      <c r="F14" s="25" t="n">
        <f aca="false">IF(B14=0,"-",B14-D14)</f>
        <v>1953</v>
      </c>
      <c r="G14" s="26" t="n">
        <f aca="false">IF(B14=0,"-",(B14-D14)/B14)</f>
        <v>0.339416058394161</v>
      </c>
      <c r="H14" s="26" t="n">
        <f aca="false">IF(OR(B14=0,B13=0),"-",(B14-B13)/B13)</f>
        <v>4.71968190854871</v>
      </c>
    </row>
    <row r="15" customFormat="false" ht="18" hidden="false" customHeight="true" outlineLevel="0" collapsed="false">
      <c r="A15" s="23" t="n">
        <v>46077</v>
      </c>
      <c r="B15" s="24" t="n">
        <v>3224</v>
      </c>
      <c r="C15" s="24" t="n">
        <v>4410</v>
      </c>
      <c r="D15" s="24" t="n">
        <v>2426</v>
      </c>
      <c r="E15" s="24" t="n">
        <v>873</v>
      </c>
      <c r="F15" s="25" t="n">
        <f aca="false">IF(B15=0,"-",B15-D15)</f>
        <v>798</v>
      </c>
      <c r="G15" s="26" t="n">
        <f aca="false">IF(B15=0,"-",(B15-D15)/B15)</f>
        <v>0.247518610421836</v>
      </c>
      <c r="H15" s="26" t="n">
        <f aca="false">IF(OR(B15=0,B14=0),"-",(B15-B14)/B14)</f>
        <v>-0.439694125825513</v>
      </c>
    </row>
    <row r="16" customFormat="false" ht="18" hidden="false" customHeight="true" outlineLevel="0" collapsed="false">
      <c r="A16" s="23" t="n">
        <v>46078</v>
      </c>
      <c r="B16" s="24" t="n">
        <v>5313</v>
      </c>
      <c r="C16" s="24" t="n">
        <v>4410</v>
      </c>
      <c r="D16" s="24" t="n">
        <v>3886</v>
      </c>
      <c r="E16" s="24" t="n">
        <v>1367</v>
      </c>
      <c r="F16" s="25" t="n">
        <f aca="false">IF(B16=0,"-",B16-D16)</f>
        <v>1427</v>
      </c>
      <c r="G16" s="26" t="n">
        <f aca="false">IF(B16=0,"-",(B16-D16)/B16)</f>
        <v>0.26858648597779</v>
      </c>
      <c r="H16" s="26" t="n">
        <f aca="false">IF(OR(B16=0,B15=0),"-",(B16-B15)/B15)</f>
        <v>0.647952853598015</v>
      </c>
    </row>
    <row r="17" customFormat="false" ht="18" hidden="false" customHeight="true" outlineLevel="0" collapsed="false">
      <c r="A17" s="23" t="n">
        <v>46079</v>
      </c>
      <c r="B17" s="24" t="n">
        <v>5801</v>
      </c>
      <c r="C17" s="24" t="n">
        <v>4410</v>
      </c>
      <c r="D17" s="24" t="n">
        <v>3876</v>
      </c>
      <c r="E17" s="24" t="n">
        <v>1511</v>
      </c>
      <c r="F17" s="25" t="n">
        <f aca="false">IF(B17=0,"-",B17-D17)</f>
        <v>1925</v>
      </c>
      <c r="G17" s="26" t="n">
        <f aca="false">IF(B17=0,"-",(B17-D17)/B17)</f>
        <v>0.331839338045165</v>
      </c>
      <c r="H17" s="26" t="n">
        <f aca="false">IF(OR(B17=0,B16=0),"-",(B17-B16)/B16)</f>
        <v>0.0918501788067005</v>
      </c>
    </row>
    <row r="18" customFormat="false" ht="18" hidden="false" customHeight="true" outlineLevel="0" collapsed="false">
      <c r="A18" s="23" t="n">
        <v>46080</v>
      </c>
      <c r="B18" s="24" t="n">
        <v>5378</v>
      </c>
      <c r="C18" s="24" t="n">
        <v>4410</v>
      </c>
      <c r="D18" s="24" t="n">
        <v>3826</v>
      </c>
      <c r="E18" s="24" t="n">
        <v>1734</v>
      </c>
      <c r="F18" s="25" t="n">
        <f aca="false">IF(B18=0,"-",B18-D18)</f>
        <v>1552</v>
      </c>
      <c r="G18" s="26" t="n">
        <f aca="false">IF(B18=0,"-",(B18-D18)/B18)</f>
        <v>0.288583116400149</v>
      </c>
      <c r="H18" s="26" t="n">
        <f aca="false">IF(OR(B18=0,B17=0),"-",(B18-B17)/B17)</f>
        <v>-0.0729184623340803</v>
      </c>
    </row>
    <row r="19" customFormat="false" ht="18" hidden="false" customHeight="true" outlineLevel="0" collapsed="false">
      <c r="A19" s="23" t="n">
        <v>46081</v>
      </c>
      <c r="B19" s="24" t="n">
        <v>905</v>
      </c>
      <c r="C19" s="24" t="n">
        <v>4410</v>
      </c>
      <c r="D19" s="24" t="n">
        <v>671</v>
      </c>
      <c r="E19" s="24" t="n">
        <v>99</v>
      </c>
      <c r="F19" s="25" t="n">
        <f aca="false">IF(B19=0,"-",B19-D19)</f>
        <v>234</v>
      </c>
      <c r="G19" s="26" t="n">
        <f aca="false">IF(B19=0,"-",(B19-D19)/B19)</f>
        <v>0.258563535911602</v>
      </c>
      <c r="H19" s="26" t="n">
        <f aca="false">IF(OR(B19=0,B18=0),"-",(B19-B18)/B18)</f>
        <v>-0.83172182967646</v>
      </c>
    </row>
    <row r="20" customFormat="false" ht="18" hidden="false" customHeight="true" outlineLevel="0" collapsed="false">
      <c r="A20" s="23" t="n">
        <v>46082</v>
      </c>
      <c r="B20" s="24" t="n">
        <v>611</v>
      </c>
      <c r="C20" s="24" t="n">
        <v>4410</v>
      </c>
      <c r="D20" s="24" t="n">
        <v>402</v>
      </c>
      <c r="E20" s="24" t="n">
        <v>71</v>
      </c>
      <c r="F20" s="25" t="n">
        <f aca="false">IF(B20=0,"-",B20-D20)</f>
        <v>209</v>
      </c>
      <c r="G20" s="26" t="n">
        <f aca="false">IF(B20=0,"-",(B20-D20)/B20)</f>
        <v>0.342062193126023</v>
      </c>
      <c r="H20" s="26" t="n">
        <f aca="false">IF(OR(B20=0,B19=0),"-",(B20-B19)/B19)</f>
        <v>-0.324861878453039</v>
      </c>
    </row>
    <row r="21" customFormat="false" ht="18" hidden="false" customHeight="true" outlineLevel="0" collapsed="false">
      <c r="A21" s="23" t="n">
        <v>46083</v>
      </c>
      <c r="B21" s="24" t="n">
        <v>3624</v>
      </c>
      <c r="C21" s="24" t="n">
        <v>4410</v>
      </c>
      <c r="D21" s="24" t="n">
        <v>2240</v>
      </c>
      <c r="E21" s="24" t="n">
        <v>745</v>
      </c>
      <c r="F21" s="25" t="n">
        <f aca="false">IF(B21=0,"-",B21-D21)</f>
        <v>1384</v>
      </c>
      <c r="G21" s="26" t="n">
        <f aca="false">IF(B21=0,"-",(B21-D21)/B21)</f>
        <v>0.381898454746137</v>
      </c>
      <c r="H21" s="26" t="n">
        <f aca="false">IF(OR(B21=0,B20=0),"-",(B21-B20)/B20)</f>
        <v>4.93126022913257</v>
      </c>
    </row>
    <row r="22" customFormat="false" ht="18" hidden="false" customHeight="true" outlineLevel="0" collapsed="false">
      <c r="A22" s="23" t="n">
        <v>46084</v>
      </c>
      <c r="B22" s="24" t="n">
        <v>4809</v>
      </c>
      <c r="C22" s="24" t="n">
        <v>4410</v>
      </c>
      <c r="D22" s="24" t="n">
        <v>3201</v>
      </c>
      <c r="E22" s="24" t="n">
        <v>1077</v>
      </c>
      <c r="F22" s="25" t="n">
        <f aca="false">IF(B22=0,"-",B22-D22)</f>
        <v>1608</v>
      </c>
      <c r="G22" s="26" t="n">
        <f aca="false">IF(B22=0,"-",(B22-D22)/B22)</f>
        <v>0.334373050530256</v>
      </c>
      <c r="H22" s="26" t="n">
        <f aca="false">IF(OR(B22=0,B21=0),"-",(B22-B21)/B21)</f>
        <v>0.326986754966887</v>
      </c>
    </row>
    <row r="23" customFormat="false" ht="18" hidden="false" customHeight="true" outlineLevel="0" collapsed="false">
      <c r="A23" s="23" t="n">
        <v>46085</v>
      </c>
      <c r="B23" s="24" t="n">
        <v>3556</v>
      </c>
      <c r="C23" s="24" t="n">
        <v>4410</v>
      </c>
      <c r="D23" s="24" t="n">
        <v>2304</v>
      </c>
      <c r="E23" s="24" t="n">
        <v>1200</v>
      </c>
      <c r="F23" s="25" t="n">
        <f aca="false">IF(B23=0,"-",B23-D23)</f>
        <v>1252</v>
      </c>
      <c r="G23" s="26" t="n">
        <f aca="false">IF(B23=0,"-",(B23-D23)/B23)</f>
        <v>0.352080989876265</v>
      </c>
      <c r="H23" s="26" t="n">
        <f aca="false">IF(OR(B23=0,B22=0),"-",(B23-B22)/B22)</f>
        <v>-0.260553129548763</v>
      </c>
    </row>
    <row r="24" customFormat="false" ht="18" hidden="false" customHeight="true" outlineLevel="0" collapsed="false">
      <c r="A24" s="23" t="n">
        <v>46086</v>
      </c>
      <c r="B24" s="24" t="n">
        <v>4845</v>
      </c>
      <c r="C24" s="24" t="n">
        <v>4410</v>
      </c>
      <c r="D24" s="24" t="n">
        <v>3438</v>
      </c>
      <c r="E24" s="24" t="n">
        <v>893</v>
      </c>
      <c r="F24" s="25" t="n">
        <f aca="false">IF(B24=0,"-",B24-D24)</f>
        <v>1407</v>
      </c>
      <c r="G24" s="26" t="n">
        <f aca="false">IF(B24=0,"-",(B24-D24)/B24)</f>
        <v>0.290402476780186</v>
      </c>
      <c r="H24" s="26" t="n">
        <f aca="false">IF(OR(B24=0,B23=0),"-",(B24-B23)/B23)</f>
        <v>0.362485939257593</v>
      </c>
    </row>
    <row r="25" customFormat="false" ht="18" hidden="false" customHeight="true" outlineLevel="0" collapsed="false">
      <c r="A25" s="23" t="n">
        <v>46087</v>
      </c>
      <c r="B25" s="24" t="n">
        <v>5084</v>
      </c>
      <c r="C25" s="24" t="n">
        <v>4410</v>
      </c>
      <c r="D25" s="24" t="n">
        <v>3200</v>
      </c>
      <c r="E25" s="24" t="n">
        <v>1148</v>
      </c>
      <c r="F25" s="25" t="n">
        <f aca="false">IF(B25=0,"-",B25-D25)</f>
        <v>1884</v>
      </c>
      <c r="G25" s="26" t="n">
        <f aca="false">IF(B25=0,"-",(B25-D25)/B25)</f>
        <v>0.370574350904799</v>
      </c>
      <c r="H25" s="26" t="n">
        <f aca="false">IF(OR(B25=0,B24=0),"-",(B25-B24)/B24)</f>
        <v>0.0493292053663571</v>
      </c>
    </row>
    <row r="26" customFormat="false" ht="18" hidden="false" customHeight="true" outlineLevel="0" collapsed="false">
      <c r="A26" s="23" t="n">
        <v>46088</v>
      </c>
      <c r="B26" s="24" t="n">
        <v>1251</v>
      </c>
      <c r="C26" s="24" t="n">
        <v>4410</v>
      </c>
      <c r="D26" s="24" t="n">
        <v>911</v>
      </c>
      <c r="E26" s="24" t="n">
        <v>264</v>
      </c>
      <c r="F26" s="25" t="n">
        <f aca="false">IF(B26=0,"-",B26-D26)</f>
        <v>340</v>
      </c>
      <c r="G26" s="26" t="n">
        <f aca="false">IF(B26=0,"-",(B26-D26)/B26)</f>
        <v>0.271782573940847</v>
      </c>
      <c r="H26" s="26" t="n">
        <f aca="false">IF(OR(B26=0,B25=0),"-",(B26-B25)/B25)</f>
        <v>-0.753933910306845</v>
      </c>
    </row>
    <row r="27" customFormat="false" ht="18" hidden="false" customHeight="true" outlineLevel="0" collapsed="false">
      <c r="A27" s="23" t="n">
        <v>46089</v>
      </c>
      <c r="B27" s="24" t="n">
        <v>995</v>
      </c>
      <c r="C27" s="24" t="n">
        <v>4410</v>
      </c>
      <c r="D27" s="24" t="n">
        <v>765</v>
      </c>
      <c r="E27" s="24" t="n">
        <v>254</v>
      </c>
      <c r="F27" s="25" t="n">
        <f aca="false">IF(B27=0,"-",B27-D27)</f>
        <v>230</v>
      </c>
      <c r="G27" s="26" t="n">
        <f aca="false">IF(B27=0,"-",(B27-D27)/B27)</f>
        <v>0.231155778894472</v>
      </c>
      <c r="H27" s="26" t="n">
        <f aca="false">IF(OR(B27=0,B26=0),"-",(B27-B26)/B26)</f>
        <v>-0.204636290967226</v>
      </c>
    </row>
    <row r="28" customFormat="false" ht="18" hidden="false" customHeight="true" outlineLevel="0" collapsed="false">
      <c r="A28" s="23" t="n">
        <v>46090</v>
      </c>
      <c r="B28" s="24" t="n">
        <v>3613</v>
      </c>
      <c r="C28" s="24" t="n">
        <v>4410</v>
      </c>
      <c r="D28" s="24" t="n">
        <v>2189</v>
      </c>
      <c r="E28" s="24" t="n">
        <v>770</v>
      </c>
      <c r="F28" s="25" t="n">
        <f aca="false">IF(B28=0,"-",B28-D28)</f>
        <v>1424</v>
      </c>
      <c r="G28" s="26" t="n">
        <f aca="false">IF(B28=0,"-",(B28-D28)/B28)</f>
        <v>0.394132300027678</v>
      </c>
      <c r="H28" s="26" t="n">
        <f aca="false">IF(OR(B28=0,B27=0),"-",(B28-B27)/B27)</f>
        <v>2.63115577889447</v>
      </c>
    </row>
    <row r="29" customFormat="false" ht="18" hidden="false" customHeight="true" outlineLevel="0" collapsed="false">
      <c r="A29" s="23" t="n">
        <v>46091</v>
      </c>
      <c r="B29" s="24" t="n">
        <v>3727</v>
      </c>
      <c r="C29" s="24" t="n">
        <v>4410</v>
      </c>
      <c r="D29" s="24" t="n">
        <v>2378</v>
      </c>
      <c r="E29" s="24" t="n">
        <v>1262</v>
      </c>
      <c r="F29" s="25" t="n">
        <f aca="false">IF(B29=0,"-",B29-D29)</f>
        <v>1349</v>
      </c>
      <c r="G29" s="26" t="n">
        <f aca="false">IF(B29=0,"-",(B29-D29)/B29)</f>
        <v>0.361953313657097</v>
      </c>
      <c r="H29" s="26" t="n">
        <f aca="false">IF(OR(B29=0,B28=0),"-",(B29-B28)/B28)</f>
        <v>0.0315527262662607</v>
      </c>
    </row>
    <row r="30" customFormat="false" ht="18" hidden="false" customHeight="true" outlineLevel="0" collapsed="false">
      <c r="A30" s="23" t="n">
        <v>46092</v>
      </c>
      <c r="B30" s="24" t="n">
        <v>5517</v>
      </c>
      <c r="C30" s="24" t="n">
        <v>4410</v>
      </c>
      <c r="D30" s="24" t="n">
        <v>3623</v>
      </c>
      <c r="E30" s="24" t="n">
        <v>1551</v>
      </c>
      <c r="F30" s="25" t="n">
        <f aca="false">IF(B30=0,"-",B30-D30)</f>
        <v>1894</v>
      </c>
      <c r="G30" s="26" t="n">
        <f aca="false">IF(B30=0,"-",(B30-D30)/B30)</f>
        <v>0.343302519485228</v>
      </c>
      <c r="H30" s="26" t="n">
        <f aca="false">IF(OR(B30=0,B29=0),"-",(B30-B29)/B29)</f>
        <v>0.480279044808157</v>
      </c>
    </row>
    <row r="31" customFormat="false" ht="18" hidden="false" customHeight="true" outlineLevel="0" collapsed="false">
      <c r="A31" s="23" t="n">
        <v>46093</v>
      </c>
      <c r="B31" s="24" t="n">
        <v>4103</v>
      </c>
      <c r="C31" s="24" t="n">
        <v>4410</v>
      </c>
      <c r="D31" s="24" t="n">
        <v>3137</v>
      </c>
      <c r="E31" s="24" t="n">
        <v>992</v>
      </c>
      <c r="F31" s="25" t="n">
        <f aca="false">IF(B31=0,"-",B31-D31)</f>
        <v>966</v>
      </c>
      <c r="G31" s="26" t="n">
        <f aca="false">IF(B31=0,"-",(B31-D31)/B31)</f>
        <v>0.235437484767244</v>
      </c>
      <c r="H31" s="26" t="n">
        <f aca="false">IF(OR(B31=0,B30=0),"-",(B31-B30)/B30)</f>
        <v>-0.256298713068697</v>
      </c>
    </row>
    <row r="32" customFormat="false" ht="18" hidden="false" customHeight="true" outlineLevel="0" collapsed="false">
      <c r="A32" s="23" t="n">
        <v>46094</v>
      </c>
      <c r="B32" s="24" t="n">
        <v>3719</v>
      </c>
      <c r="C32" s="24" t="n">
        <v>4410</v>
      </c>
      <c r="D32" s="24" t="n">
        <v>2396</v>
      </c>
      <c r="E32" s="24" t="n">
        <v>975</v>
      </c>
      <c r="F32" s="25" t="n">
        <f aca="false">IF(B32=0,"-",B32-D32)</f>
        <v>1323</v>
      </c>
      <c r="G32" s="26" t="n">
        <f aca="false">IF(B32=0,"-",(B32-D32)/B32)</f>
        <v>0.35574079053509</v>
      </c>
      <c r="H32" s="26" t="n">
        <f aca="false">IF(OR(B32=0,B31=0),"-",(B32-B31)/B31)</f>
        <v>-0.093590056056544</v>
      </c>
    </row>
    <row r="33" customFormat="false" ht="18" hidden="false" customHeight="true" outlineLevel="0" collapsed="false">
      <c r="A33" s="23" t="n">
        <v>46095</v>
      </c>
      <c r="B33" s="24" t="n">
        <v>641</v>
      </c>
      <c r="C33" s="24" t="n">
        <v>4410</v>
      </c>
      <c r="D33" s="24" t="n">
        <v>460</v>
      </c>
      <c r="E33" s="24" t="n">
        <v>179</v>
      </c>
      <c r="F33" s="25" t="n">
        <f aca="false">IF(B33=0,"-",B33-D33)</f>
        <v>181</v>
      </c>
      <c r="G33" s="26" t="n">
        <f aca="false">IF(B33=0,"-",(B33-D33)/B33)</f>
        <v>0.282371294851794</v>
      </c>
      <c r="H33" s="26" t="n">
        <f aca="false">IF(OR(B33=0,B32=0),"-",(B33-B32)/B32)</f>
        <v>-0.827641839204087</v>
      </c>
    </row>
    <row r="34" customFormat="false" ht="18" hidden="false" customHeight="true" outlineLevel="0" collapsed="false">
      <c r="A34" s="23" t="n">
        <v>46096</v>
      </c>
      <c r="B34" s="24" t="n">
        <v>755</v>
      </c>
      <c r="C34" s="24" t="n">
        <v>4410</v>
      </c>
      <c r="D34" s="24" t="n">
        <v>486</v>
      </c>
      <c r="E34" s="24" t="n">
        <v>226</v>
      </c>
      <c r="F34" s="25" t="n">
        <f aca="false">IF(B34=0,"-",B34-D34)</f>
        <v>269</v>
      </c>
      <c r="G34" s="26" t="n">
        <f aca="false">IF(B34=0,"-",(B34-D34)/B34)</f>
        <v>0.356291390728477</v>
      </c>
      <c r="H34" s="26" t="n">
        <f aca="false">IF(OR(B34=0,B33=0),"-",(B34-B33)/B33)</f>
        <v>0.177847113884555</v>
      </c>
    </row>
    <row r="35" customFormat="false" ht="18" hidden="false" customHeight="true" outlineLevel="0" collapsed="false">
      <c r="A35" s="23" t="n">
        <v>46097</v>
      </c>
      <c r="B35" s="24" t="n">
        <v>4438</v>
      </c>
      <c r="C35" s="24" t="n">
        <v>4410</v>
      </c>
      <c r="D35" s="24" t="n">
        <v>2735</v>
      </c>
      <c r="E35" s="24" t="n">
        <v>708</v>
      </c>
      <c r="F35" s="25" t="n">
        <f aca="false">IF(B35=0,"-",B35-D35)</f>
        <v>1703</v>
      </c>
      <c r="G35" s="26" t="n">
        <f aca="false">IF(B35=0,"-",(B35-D35)/B35)</f>
        <v>0.383731410545291</v>
      </c>
      <c r="H35" s="26" t="n">
        <f aca="false">IF(OR(B35=0,B34=0),"-",(B35-B34)/B34)</f>
        <v>4.87814569536424</v>
      </c>
    </row>
    <row r="36" customFormat="false" ht="18" hidden="false" customHeight="true" outlineLevel="0" collapsed="false">
      <c r="A36" s="23" t="n">
        <v>46098</v>
      </c>
      <c r="B36" s="24" t="n">
        <v>3262</v>
      </c>
      <c r="C36" s="24" t="n">
        <v>4410</v>
      </c>
      <c r="D36" s="24" t="n">
        <v>2326</v>
      </c>
      <c r="E36" s="24" t="n">
        <v>1006</v>
      </c>
      <c r="F36" s="25" t="n">
        <f aca="false">IF(B36=0,"-",B36-D36)</f>
        <v>936</v>
      </c>
      <c r="G36" s="26" t="n">
        <f aca="false">IF(B36=0,"-",(B36-D36)/B36)</f>
        <v>0.286940527283875</v>
      </c>
      <c r="H36" s="26" t="n">
        <f aca="false">IF(OR(B36=0,B35=0),"-",(B36-B35)/B35)</f>
        <v>-0.264984227129338</v>
      </c>
    </row>
    <row r="37" customFormat="false" ht="18" hidden="false" customHeight="true" outlineLevel="0" collapsed="false">
      <c r="A37" s="23" t="n">
        <v>46099</v>
      </c>
      <c r="B37" s="24" t="n">
        <v>4181</v>
      </c>
      <c r="C37" s="24" t="n">
        <v>4410</v>
      </c>
      <c r="D37" s="24" t="n">
        <v>2556</v>
      </c>
      <c r="E37" s="24" t="n">
        <v>946</v>
      </c>
      <c r="F37" s="25" t="n">
        <f aca="false">IF(B37=0,"-",B37-D37)</f>
        <v>1625</v>
      </c>
      <c r="G37" s="26" t="n">
        <f aca="false">IF(B37=0,"-",(B37-D37)/B37)</f>
        <v>0.388662999282468</v>
      </c>
      <c r="H37" s="26" t="n">
        <f aca="false">IF(OR(B37=0,B36=0),"-",(B37-B36)/B36)</f>
        <v>0.281729000613121</v>
      </c>
    </row>
    <row r="38" customFormat="false" ht="18" hidden="false" customHeight="true" outlineLevel="0" collapsed="false">
      <c r="A38" s="23" t="n">
        <v>46100</v>
      </c>
      <c r="B38" s="24" t="n">
        <v>5869</v>
      </c>
      <c r="C38" s="24" t="n">
        <v>4410</v>
      </c>
      <c r="D38" s="24" t="n">
        <v>4080</v>
      </c>
      <c r="E38" s="24" t="n">
        <v>2020</v>
      </c>
      <c r="F38" s="25" t="n">
        <f aca="false">IF(B38=0,"-",B38-D38)</f>
        <v>1789</v>
      </c>
      <c r="G38" s="26" t="n">
        <f aca="false">IF(B38=0,"-",(B38-D38)/B38)</f>
        <v>0.304821945817005</v>
      </c>
      <c r="H38" s="26" t="n">
        <f aca="false">IF(OR(B38=0,B37=0),"-",(B38-B37)/B37)</f>
        <v>0.403731164793112</v>
      </c>
    </row>
    <row r="39" customFormat="false" ht="18" hidden="false" customHeight="true" outlineLevel="0" collapsed="false">
      <c r="A39" s="23" t="n">
        <v>46101</v>
      </c>
      <c r="B39" s="24" t="n">
        <v>5471</v>
      </c>
      <c r="C39" s="24" t="n">
        <v>4410</v>
      </c>
      <c r="D39" s="24" t="n">
        <v>3294</v>
      </c>
      <c r="E39" s="24" t="n">
        <v>1609</v>
      </c>
      <c r="F39" s="25" t="n">
        <f aca="false">IF(B39=0,"-",B39-D39)</f>
        <v>2177</v>
      </c>
      <c r="G39" s="26" t="n">
        <f aca="false">IF(B39=0,"-",(B39-D39)/B39)</f>
        <v>0.397916285870956</v>
      </c>
      <c r="H39" s="26" t="n">
        <f aca="false">IF(OR(B39=0,B38=0),"-",(B39-B38)/B38)</f>
        <v>-0.0678139376384393</v>
      </c>
    </row>
    <row r="40" customFormat="false" ht="18" hidden="false" customHeight="true" outlineLevel="0" collapsed="false">
      <c r="A40" s="23" t="n">
        <v>46102</v>
      </c>
      <c r="B40" s="24" t="n">
        <v>993</v>
      </c>
      <c r="C40" s="24" t="n">
        <v>4410</v>
      </c>
      <c r="D40" s="24" t="n">
        <v>702</v>
      </c>
      <c r="E40" s="24" t="n">
        <v>152</v>
      </c>
      <c r="F40" s="25" t="n">
        <f aca="false">IF(B40=0,"-",B40-D40)</f>
        <v>291</v>
      </c>
      <c r="G40" s="26" t="n">
        <f aca="false">IF(B40=0,"-",(B40-D40)/B40)</f>
        <v>0.293051359516616</v>
      </c>
      <c r="H40" s="26" t="n">
        <f aca="false">IF(OR(B40=0,B39=0),"-",(B40-B39)/B39)</f>
        <v>-0.818497532443795</v>
      </c>
    </row>
    <row r="41" customFormat="false" ht="18" hidden="false" customHeight="true" outlineLevel="0" collapsed="false">
      <c r="A41" s="23" t="n">
        <v>46103</v>
      </c>
      <c r="B41" s="24" t="n">
        <v>958</v>
      </c>
      <c r="C41" s="24" t="n">
        <v>4410</v>
      </c>
      <c r="D41" s="24" t="n">
        <v>596</v>
      </c>
      <c r="E41" s="24" t="n">
        <v>179</v>
      </c>
      <c r="F41" s="25" t="n">
        <f aca="false">IF(B41=0,"-",B41-D41)</f>
        <v>362</v>
      </c>
      <c r="G41" s="26" t="n">
        <f aca="false">IF(B41=0,"-",(B41-D41)/B41)</f>
        <v>0.377870563674322</v>
      </c>
      <c r="H41" s="26" t="n">
        <f aca="false">IF(OR(B41=0,B40=0),"-",(B41-B40)/B40)</f>
        <v>-0.0352467270896274</v>
      </c>
    </row>
    <row r="42" customFormat="false" ht="18" hidden="false" customHeight="true" outlineLevel="0" collapsed="false">
      <c r="A42" s="23" t="n">
        <v>46104</v>
      </c>
      <c r="B42" s="24" t="n">
        <v>4274</v>
      </c>
      <c r="C42" s="24" t="n">
        <v>4410</v>
      </c>
      <c r="D42" s="24" t="n">
        <v>3298</v>
      </c>
      <c r="E42" s="24" t="n">
        <v>1390</v>
      </c>
      <c r="F42" s="25" t="n">
        <f aca="false">IF(B42=0,"-",B42-D42)</f>
        <v>976</v>
      </c>
      <c r="G42" s="26" t="n">
        <f aca="false">IF(B42=0,"-",(B42-D42)/B42)</f>
        <v>0.228357510528779</v>
      </c>
      <c r="H42" s="26" t="n">
        <f aca="false">IF(OR(B42=0,B41=0),"-",(B42-B41)/B41)</f>
        <v>3.46137787056367</v>
      </c>
    </row>
    <row r="43" customFormat="false" ht="18" hidden="false" customHeight="true" outlineLevel="0" collapsed="false">
      <c r="A43" s="23" t="n">
        <v>46105</v>
      </c>
      <c r="B43" s="24" t="n">
        <v>3714</v>
      </c>
      <c r="C43" s="24" t="n">
        <v>4410</v>
      </c>
      <c r="D43" s="24" t="n">
        <v>2563</v>
      </c>
      <c r="E43" s="24" t="n">
        <v>690</v>
      </c>
      <c r="F43" s="25" t="n">
        <f aca="false">IF(B43=0,"-",B43-D43)</f>
        <v>1151</v>
      </c>
      <c r="G43" s="26" t="n">
        <f aca="false">IF(B43=0,"-",(B43-D43)/B43)</f>
        <v>0.3099084544965</v>
      </c>
      <c r="H43" s="26" t="n">
        <f aca="false">IF(OR(B43=0,B42=0),"-",(B43-B42)/B42)</f>
        <v>-0.13102480112307</v>
      </c>
    </row>
    <row r="44" customFormat="false" ht="18" hidden="false" customHeight="true" outlineLevel="0" collapsed="false">
      <c r="A44" s="23" t="n">
        <v>46106</v>
      </c>
      <c r="B44" s="24" t="n">
        <v>5623</v>
      </c>
      <c r="C44" s="24" t="n">
        <v>4410</v>
      </c>
      <c r="D44" s="24" t="n">
        <v>4255</v>
      </c>
      <c r="E44" s="24" t="n">
        <v>1179</v>
      </c>
      <c r="F44" s="25" t="n">
        <f aca="false">IF(B44=0,"-",B44-D44)</f>
        <v>1368</v>
      </c>
      <c r="G44" s="26" t="n">
        <f aca="false">IF(B44=0,"-",(B44-D44)/B44)</f>
        <v>0.243286501867331</v>
      </c>
      <c r="H44" s="26" t="n">
        <f aca="false">IF(OR(B44=0,B43=0),"-",(B44-B43)/B43)</f>
        <v>0.514001077005924</v>
      </c>
    </row>
    <row r="45" customFormat="false" ht="18" hidden="false" customHeight="true" outlineLevel="0" collapsed="false">
      <c r="A45" s="23" t="n">
        <v>46107</v>
      </c>
      <c r="B45" s="24" t="n">
        <v>4819</v>
      </c>
      <c r="C45" s="24" t="n">
        <v>4410</v>
      </c>
      <c r="D45" s="24" t="n">
        <v>3420</v>
      </c>
      <c r="E45" s="24" t="n">
        <v>870</v>
      </c>
      <c r="F45" s="25" t="n">
        <f aca="false">IF(B45=0,"-",B45-D45)</f>
        <v>1399</v>
      </c>
      <c r="G45" s="26" t="n">
        <f aca="false">IF(B45=0,"-",(B45-D45)/B45)</f>
        <v>0.290309192778585</v>
      </c>
      <c r="H45" s="26" t="n">
        <f aca="false">IF(OR(B45=0,B44=0),"-",(B45-B44)/B44)</f>
        <v>-0.142984172150098</v>
      </c>
    </row>
    <row r="46" customFormat="false" ht="18" hidden="false" customHeight="true" outlineLevel="0" collapsed="false">
      <c r="A46" s="23" t="n">
        <v>46108</v>
      </c>
      <c r="B46" s="24" t="n">
        <v>5182</v>
      </c>
      <c r="C46" s="24" t="n">
        <v>4410</v>
      </c>
      <c r="D46" s="24" t="n">
        <v>3612</v>
      </c>
      <c r="E46" s="24" t="n">
        <v>1584</v>
      </c>
      <c r="F46" s="25" t="n">
        <f aca="false">IF(B46=0,"-",B46-D46)</f>
        <v>1570</v>
      </c>
      <c r="G46" s="26" t="n">
        <f aca="false">IF(B46=0,"-",(B46-D46)/B46)</f>
        <v>0.302971825549981</v>
      </c>
      <c r="H46" s="26" t="n">
        <f aca="false">IF(OR(B46=0,B45=0),"-",(B46-B45)/B45)</f>
        <v>0.0753268312927993</v>
      </c>
    </row>
    <row r="47" customFormat="false" ht="18" hidden="false" customHeight="true" outlineLevel="0" collapsed="false">
      <c r="A47" s="23" t="n">
        <v>46109</v>
      </c>
      <c r="B47" s="24" t="n">
        <v>865</v>
      </c>
      <c r="C47" s="24" t="n">
        <v>4410</v>
      </c>
      <c r="D47" s="24" t="n">
        <v>519</v>
      </c>
      <c r="E47" s="24" t="n">
        <v>143</v>
      </c>
      <c r="F47" s="25" t="n">
        <f aca="false">IF(B47=0,"-",B47-D47)</f>
        <v>346</v>
      </c>
      <c r="G47" s="26" t="n">
        <f aca="false">IF(B47=0,"-",(B47-D47)/B47)</f>
        <v>0.4</v>
      </c>
      <c r="H47" s="26" t="n">
        <f aca="false">IF(OR(B47=0,B46=0),"-",(B47-B46)/B46)</f>
        <v>-0.833076032419915</v>
      </c>
    </row>
    <row r="48" customFormat="false" ht="18" hidden="false" customHeight="true" outlineLevel="0" collapsed="false">
      <c r="A48" s="23" t="n">
        <v>46110</v>
      </c>
      <c r="B48" s="24" t="n">
        <v>436</v>
      </c>
      <c r="C48" s="24" t="n">
        <v>4410</v>
      </c>
      <c r="D48" s="24" t="n">
        <v>343</v>
      </c>
      <c r="E48" s="24" t="n">
        <v>120</v>
      </c>
      <c r="F48" s="25" t="n">
        <f aca="false">IF(B48=0,"-",B48-D48)</f>
        <v>93</v>
      </c>
      <c r="G48" s="26" t="n">
        <f aca="false">IF(B48=0,"-",(B48-D48)/B48)</f>
        <v>0.213302752293578</v>
      </c>
      <c r="H48" s="26" t="n">
        <f aca="false">IF(OR(B48=0,B47=0),"-",(B48-B47)/B47)</f>
        <v>-0.495953757225434</v>
      </c>
    </row>
    <row r="49" customFormat="false" ht="18" hidden="false" customHeight="true" outlineLevel="0" collapsed="false">
      <c r="A49" s="23" t="n">
        <v>46111</v>
      </c>
      <c r="B49" s="24" t="n">
        <v>5385</v>
      </c>
      <c r="C49" s="24" t="n">
        <v>4410</v>
      </c>
      <c r="D49" s="24" t="n">
        <v>3529</v>
      </c>
      <c r="E49" s="24" t="n">
        <v>870</v>
      </c>
      <c r="F49" s="25" t="n">
        <f aca="false">IF(B49=0,"-",B49-D49)</f>
        <v>1856</v>
      </c>
      <c r="G49" s="26" t="n">
        <f aca="false">IF(B49=0,"-",(B49-D49)/B49)</f>
        <v>0.344661095636026</v>
      </c>
      <c r="H49" s="26" t="n">
        <f aca="false">IF(OR(B49=0,B48=0),"-",(B49-B48)/B48)</f>
        <v>11.3509174311927</v>
      </c>
    </row>
    <row r="50" customFormat="false" ht="18" hidden="false" customHeight="true" outlineLevel="0" collapsed="false">
      <c r="A50" s="23" t="n">
        <v>46112</v>
      </c>
      <c r="B50" s="24" t="n">
        <v>5521</v>
      </c>
      <c r="C50" s="24" t="n">
        <v>4410</v>
      </c>
      <c r="D50" s="24" t="n">
        <v>4254</v>
      </c>
      <c r="E50" s="24" t="n">
        <v>923</v>
      </c>
      <c r="F50" s="25" t="n">
        <f aca="false">IF(B50=0,"-",B50-D50)</f>
        <v>1267</v>
      </c>
      <c r="G50" s="26" t="n">
        <f aca="false">IF(B50=0,"-",(B50-D50)/B50)</f>
        <v>0.229487411700779</v>
      </c>
      <c r="H50" s="26" t="n">
        <f aca="false">IF(OR(B50=0,B49=0),"-",(B50-B49)/B49)</f>
        <v>0.025255338904364</v>
      </c>
    </row>
    <row r="51" customFormat="false" ht="18" hidden="false" customHeight="true" outlineLevel="0" collapsed="false">
      <c r="A51" s="23" t="n">
        <v>46113</v>
      </c>
      <c r="B51" s="24" t="n">
        <v>4369</v>
      </c>
      <c r="C51" s="24" t="n">
        <v>4410</v>
      </c>
      <c r="D51" s="24" t="n">
        <v>2676</v>
      </c>
      <c r="E51" s="24" t="n">
        <v>1320</v>
      </c>
      <c r="F51" s="25" t="n">
        <f aca="false">IF(B51=0,"-",B51-D51)</f>
        <v>1693</v>
      </c>
      <c r="G51" s="26" t="n">
        <f aca="false">IF(B51=0,"-",(B51-D51)/B51)</f>
        <v>0.387502861066606</v>
      </c>
      <c r="H51" s="26" t="n">
        <f aca="false">IF(OR(B51=0,B50=0),"-",(B51-B50)/B50)</f>
        <v>-0.208657851838435</v>
      </c>
    </row>
    <row r="52" customFormat="false" ht="18" hidden="false" customHeight="true" outlineLevel="0" collapsed="false">
      <c r="A52" s="23" t="n">
        <v>46114</v>
      </c>
      <c r="B52" s="24" t="n">
        <v>5192</v>
      </c>
      <c r="C52" s="24" t="n">
        <v>4410</v>
      </c>
      <c r="D52" s="24" t="n">
        <v>3235</v>
      </c>
      <c r="E52" s="24" t="n">
        <v>1272</v>
      </c>
      <c r="F52" s="25" t="n">
        <f aca="false">IF(B52=0,"-",B52-D52)</f>
        <v>1957</v>
      </c>
      <c r="G52" s="26" t="n">
        <f aca="false">IF(B52=0,"-",(B52-D52)/B52)</f>
        <v>0.376926040061633</v>
      </c>
      <c r="H52" s="26" t="n">
        <f aca="false">IF(OR(B52=0,B51=0),"-",(B52-B51)/B51)</f>
        <v>0.188372625314717</v>
      </c>
    </row>
    <row r="53" customFormat="false" ht="18" hidden="false" customHeight="true" outlineLevel="0" collapsed="false">
      <c r="A53" s="23" t="n">
        <v>46115</v>
      </c>
      <c r="B53" s="24" t="n">
        <v>4556</v>
      </c>
      <c r="C53" s="24" t="n">
        <v>4410</v>
      </c>
      <c r="D53" s="24" t="n">
        <v>2951</v>
      </c>
      <c r="E53" s="24" t="n">
        <v>1478</v>
      </c>
      <c r="F53" s="25" t="n">
        <f aca="false">IF(B53=0,"-",B53-D53)</f>
        <v>1605</v>
      </c>
      <c r="G53" s="26" t="n">
        <f aca="false">IF(B53=0,"-",(B53-D53)/B53)</f>
        <v>0.352282704126427</v>
      </c>
      <c r="H53" s="26" t="n">
        <f aca="false">IF(OR(B53=0,B52=0),"-",(B53-B52)/B52)</f>
        <v>-0.122496147919877</v>
      </c>
    </row>
    <row r="54" customFormat="false" ht="18" hidden="false" customHeight="true" outlineLevel="0" collapsed="false">
      <c r="A54" s="23" t="n">
        <v>46116</v>
      </c>
      <c r="B54" s="24" t="n">
        <v>775</v>
      </c>
      <c r="C54" s="24" t="n">
        <v>4410</v>
      </c>
      <c r="D54" s="24" t="n">
        <v>498</v>
      </c>
      <c r="E54" s="24" t="n">
        <v>161</v>
      </c>
      <c r="F54" s="25" t="n">
        <f aca="false">IF(B54=0,"-",B54-D54)</f>
        <v>277</v>
      </c>
      <c r="G54" s="26" t="n">
        <f aca="false">IF(B54=0,"-",(B54-D54)/B54)</f>
        <v>0.35741935483871</v>
      </c>
      <c r="H54" s="26" t="n">
        <f aca="false">IF(OR(B54=0,B53=0),"-",(B54-B53)/B53)</f>
        <v>-0.829894644424934</v>
      </c>
    </row>
    <row r="55" customFormat="false" ht="18" hidden="false" customHeight="true" outlineLevel="0" collapsed="false">
      <c r="A55" s="23" t="n">
        <v>46117</v>
      </c>
      <c r="B55" s="24" t="n">
        <v>1033</v>
      </c>
      <c r="C55" s="24" t="n">
        <v>4410</v>
      </c>
      <c r="D55" s="24" t="n">
        <v>661</v>
      </c>
      <c r="E55" s="24" t="n">
        <v>168</v>
      </c>
      <c r="F55" s="25" t="n">
        <f aca="false">IF(B55=0,"-",B55-D55)</f>
        <v>372</v>
      </c>
      <c r="G55" s="26" t="n">
        <f aca="false">IF(B55=0,"-",(B55-D55)/B55)</f>
        <v>0.360116166505324</v>
      </c>
      <c r="H55" s="26" t="n">
        <f aca="false">IF(OR(B55=0,B54=0),"-",(B55-B54)/B54)</f>
        <v>0.332903225806452</v>
      </c>
    </row>
    <row r="56" customFormat="false" ht="18" hidden="false" customHeight="true" outlineLevel="0" collapsed="false">
      <c r="A56" s="23" t="n">
        <v>46118</v>
      </c>
      <c r="B56" s="24" t="n">
        <v>5866</v>
      </c>
      <c r="C56" s="24" t="n">
        <v>4410</v>
      </c>
      <c r="D56" s="24" t="n">
        <v>4206</v>
      </c>
      <c r="E56" s="24" t="n">
        <v>1394</v>
      </c>
      <c r="F56" s="25" t="n">
        <f aca="false">IF(B56=0,"-",B56-D56)</f>
        <v>1660</v>
      </c>
      <c r="G56" s="26" t="n">
        <f aca="false">IF(B56=0,"-",(B56-D56)/B56)</f>
        <v>0.282986703034436</v>
      </c>
      <c r="H56" s="26" t="n">
        <f aca="false">IF(OR(B56=0,B55=0),"-",(B56-B55)/B55)</f>
        <v>4.67860600193611</v>
      </c>
    </row>
    <row r="57" customFormat="false" ht="18" hidden="false" customHeight="true" outlineLevel="0" collapsed="false">
      <c r="A57" s="23" t="n">
        <v>46119</v>
      </c>
      <c r="B57" s="24" t="n">
        <v>4462</v>
      </c>
      <c r="C57" s="24" t="n">
        <v>4410</v>
      </c>
      <c r="D57" s="24" t="n">
        <v>2774</v>
      </c>
      <c r="E57" s="24" t="n">
        <v>870</v>
      </c>
      <c r="F57" s="25" t="n">
        <f aca="false">IF(B57=0,"-",B57-D57)</f>
        <v>1688</v>
      </c>
      <c r="G57" s="26" t="n">
        <f aca="false">IF(B57=0,"-",(B57-D57)/B57)</f>
        <v>0.378305692514567</v>
      </c>
      <c r="H57" s="26" t="n">
        <f aca="false">IF(OR(B57=0,B56=0),"-",(B57-B56)/B56)</f>
        <v>-0.239345380156836</v>
      </c>
    </row>
    <row r="58" customFormat="false" ht="18" hidden="false" customHeight="true" outlineLevel="0" collapsed="false">
      <c r="A58" s="23" t="n">
        <v>46120</v>
      </c>
      <c r="B58" s="24" t="n">
        <v>3934</v>
      </c>
      <c r="C58" s="24" t="n">
        <v>4410</v>
      </c>
      <c r="D58" s="24" t="n">
        <v>2777</v>
      </c>
      <c r="E58" s="24" t="n">
        <v>771</v>
      </c>
      <c r="F58" s="25" t="n">
        <f aca="false">IF(B58=0,"-",B58-D58)</f>
        <v>1157</v>
      </c>
      <c r="G58" s="26" t="n">
        <f aca="false">IF(B58=0,"-",(B58-D58)/B58)</f>
        <v>0.294102694458566</v>
      </c>
      <c r="H58" s="26" t="n">
        <f aca="false">IF(OR(B58=0,B57=0),"-",(B58-B57)/B57)</f>
        <v>-0.118332586284178</v>
      </c>
    </row>
    <row r="59" customFormat="false" ht="18" hidden="false" customHeight="true" outlineLevel="0" collapsed="false">
      <c r="A59" s="23" t="n">
        <v>46121</v>
      </c>
      <c r="B59" s="24" t="n">
        <v>3587</v>
      </c>
      <c r="C59" s="24" t="n">
        <v>4410</v>
      </c>
      <c r="D59" s="24" t="n">
        <v>2198</v>
      </c>
      <c r="E59" s="24" t="n">
        <v>991</v>
      </c>
      <c r="F59" s="25" t="n">
        <f aca="false">IF(B59=0,"-",B59-D59)</f>
        <v>1389</v>
      </c>
      <c r="G59" s="26" t="n">
        <f aca="false">IF(B59=0,"-",(B59-D59)/B59)</f>
        <v>0.387231669919153</v>
      </c>
      <c r="H59" s="26" t="n">
        <f aca="false">IF(OR(B59=0,B58=0),"-",(B59-B58)/B58)</f>
        <v>-0.0882053889171327</v>
      </c>
    </row>
    <row r="60" customFormat="false" ht="18" hidden="false" customHeight="true" outlineLevel="0" collapsed="false">
      <c r="A60" s="23" t="n">
        <v>46122</v>
      </c>
      <c r="B60" s="24" t="n">
        <v>3613</v>
      </c>
      <c r="C60" s="24" t="n">
        <v>4410</v>
      </c>
      <c r="D60" s="24" t="n">
        <v>2757</v>
      </c>
      <c r="E60" s="24" t="n">
        <v>1163</v>
      </c>
      <c r="F60" s="25" t="n">
        <f aca="false">IF(B60=0,"-",B60-D60)</f>
        <v>856</v>
      </c>
      <c r="G60" s="26" t="n">
        <f aca="false">IF(B60=0,"-",(B60-D60)/B60)</f>
        <v>0.236922225297537</v>
      </c>
      <c r="H60" s="26" t="n">
        <f aca="false">IF(OR(B60=0,B59=0),"-",(B60-B59)/B59)</f>
        <v>0.00724839698912741</v>
      </c>
    </row>
    <row r="61" customFormat="false" ht="18" hidden="false" customHeight="true" outlineLevel="0" collapsed="false">
      <c r="A61" s="23" t="n">
        <v>46123</v>
      </c>
      <c r="B61" s="24" t="n">
        <v>480</v>
      </c>
      <c r="C61" s="24" t="n">
        <v>4410</v>
      </c>
      <c r="D61" s="24" t="n">
        <v>311</v>
      </c>
      <c r="E61" s="24" t="n">
        <v>112</v>
      </c>
      <c r="F61" s="25" t="n">
        <f aca="false">IF(B61=0,"-",B61-D61)</f>
        <v>169</v>
      </c>
      <c r="G61" s="26" t="n">
        <f aca="false">IF(B61=0,"-",(B61-D61)/B61)</f>
        <v>0.352083333333333</v>
      </c>
      <c r="H61" s="26" t="n">
        <f aca="false">IF(OR(B61=0,B60=0),"-",(B61-B60)/B60)</f>
        <v>-0.867146415721008</v>
      </c>
    </row>
    <row r="62" customFormat="false" ht="18" hidden="false" customHeight="true" outlineLevel="0" collapsed="false">
      <c r="A62" s="23" t="n">
        <v>46124</v>
      </c>
      <c r="B62" s="24" t="n">
        <v>600</v>
      </c>
      <c r="C62" s="24" t="n">
        <v>4410</v>
      </c>
      <c r="D62" s="24" t="n">
        <v>376</v>
      </c>
      <c r="E62" s="24" t="n">
        <v>172</v>
      </c>
      <c r="F62" s="25" t="n">
        <f aca="false">IF(B62=0,"-",B62-D62)</f>
        <v>224</v>
      </c>
      <c r="G62" s="26" t="n">
        <f aca="false">IF(B62=0,"-",(B62-D62)/B62)</f>
        <v>0.373333333333333</v>
      </c>
      <c r="H62" s="26" t="n">
        <f aca="false">IF(OR(B62=0,B61=0),"-",(B62-B61)/B61)</f>
        <v>0.25</v>
      </c>
    </row>
    <row r="63" customFormat="false" ht="18" hidden="false" customHeight="true" outlineLevel="0" collapsed="false">
      <c r="A63" s="23" t="n">
        <v>46125</v>
      </c>
      <c r="B63" s="24" t="n">
        <v>4619</v>
      </c>
      <c r="C63" s="24" t="n">
        <v>4410</v>
      </c>
      <c r="D63" s="24" t="n">
        <v>3164</v>
      </c>
      <c r="E63" s="24" t="n">
        <v>1418</v>
      </c>
      <c r="F63" s="25" t="n">
        <f aca="false">IF(B63=0,"-",B63-D63)</f>
        <v>1455</v>
      </c>
      <c r="G63" s="26" t="n">
        <f aca="false">IF(B63=0,"-",(B63-D63)/B63)</f>
        <v>0.315003247456159</v>
      </c>
      <c r="H63" s="26" t="n">
        <f aca="false">IF(OR(B63=0,B62=0),"-",(B63-B62)/B62)</f>
        <v>6.69833333333333</v>
      </c>
    </row>
    <row r="64" customFormat="false" ht="18" hidden="false" customHeight="true" outlineLevel="0" collapsed="false">
      <c r="A64" s="23" t="n">
        <v>46126</v>
      </c>
      <c r="B64" s="24" t="n">
        <v>5314</v>
      </c>
      <c r="C64" s="24" t="n">
        <v>4410</v>
      </c>
      <c r="D64" s="24" t="n">
        <v>3371</v>
      </c>
      <c r="E64" s="24" t="n">
        <v>900</v>
      </c>
      <c r="F64" s="25" t="n">
        <f aca="false">IF(B64=0,"-",B64-D64)</f>
        <v>1943</v>
      </c>
      <c r="G64" s="26" t="n">
        <f aca="false">IF(B64=0,"-",(B64-D64)/B64)</f>
        <v>0.365637937523523</v>
      </c>
      <c r="H64" s="26" t="n">
        <f aca="false">IF(OR(B64=0,B63=0),"-",(B64-B63)/B63)</f>
        <v>0.150465468716172</v>
      </c>
    </row>
    <row r="65" customFormat="false" ht="18" hidden="false" customHeight="true" outlineLevel="0" collapsed="false">
      <c r="A65" s="23" t="n">
        <v>46127</v>
      </c>
      <c r="B65" s="24" t="n">
        <v>4207</v>
      </c>
      <c r="C65" s="24" t="n">
        <v>4410</v>
      </c>
      <c r="D65" s="24" t="n">
        <v>2845</v>
      </c>
      <c r="E65" s="24" t="n">
        <v>1024</v>
      </c>
      <c r="F65" s="25" t="n">
        <f aca="false">IF(B65=0,"-",B65-D65)</f>
        <v>1362</v>
      </c>
      <c r="G65" s="26" t="n">
        <f aca="false">IF(B65=0,"-",(B65-D65)/B65)</f>
        <v>0.323746137390064</v>
      </c>
      <c r="H65" s="26" t="n">
        <f aca="false">IF(OR(B65=0,B64=0),"-",(B65-B64)/B64)</f>
        <v>-0.208317651486639</v>
      </c>
    </row>
    <row r="66" customFormat="false" ht="18" hidden="false" customHeight="true" outlineLevel="0" collapsed="false">
      <c r="A66" s="23" t="n">
        <v>46128</v>
      </c>
      <c r="B66" s="24" t="n">
        <v>5083</v>
      </c>
      <c r="C66" s="24" t="n">
        <v>4410</v>
      </c>
      <c r="D66" s="24" t="n">
        <v>3666</v>
      </c>
      <c r="E66" s="24" t="n">
        <v>1763</v>
      </c>
      <c r="F66" s="25" t="n">
        <f aca="false">IF(B66=0,"-",B66-D66)</f>
        <v>1417</v>
      </c>
      <c r="G66" s="26" t="n">
        <f aca="false">IF(B66=0,"-",(B66-D66)/B66)</f>
        <v>0.278772378516624</v>
      </c>
      <c r="H66" s="26" t="n">
        <f aca="false">IF(OR(B66=0,B65=0),"-",(B66-B65)/B65)</f>
        <v>0.208224387924887</v>
      </c>
    </row>
    <row r="67" customFormat="false" ht="18" hidden="false" customHeight="true" outlineLevel="0" collapsed="false">
      <c r="A67" s="23" t="n">
        <v>46129</v>
      </c>
      <c r="B67" s="24" t="n">
        <v>3229</v>
      </c>
      <c r="C67" s="24" t="n">
        <v>4410</v>
      </c>
      <c r="D67" s="24" t="n">
        <v>2171</v>
      </c>
      <c r="E67" s="24" t="n">
        <v>703</v>
      </c>
      <c r="F67" s="25" t="n">
        <f aca="false">IF(B67=0,"-",B67-D67)</f>
        <v>1058</v>
      </c>
      <c r="G67" s="26" t="n">
        <f aca="false">IF(B67=0,"-",(B67-D67)/B67)</f>
        <v>0.327655620935274</v>
      </c>
      <c r="H67" s="26" t="n">
        <f aca="false">IF(OR(B67=0,B66=0),"-",(B67-B66)/B66)</f>
        <v>-0.364745229195357</v>
      </c>
    </row>
    <row r="68" customFormat="false" ht="18" hidden="false" customHeight="true" outlineLevel="0" collapsed="false">
      <c r="A68" s="23" t="n">
        <v>46130</v>
      </c>
      <c r="B68" s="24" t="n">
        <v>1144</v>
      </c>
      <c r="C68" s="24" t="n">
        <v>4410</v>
      </c>
      <c r="D68" s="24" t="n">
        <v>743</v>
      </c>
      <c r="E68" s="24" t="n">
        <v>158</v>
      </c>
      <c r="F68" s="25" t="n">
        <f aca="false">IF(B68=0,"-",B68-D68)</f>
        <v>401</v>
      </c>
      <c r="G68" s="26" t="n">
        <f aca="false">IF(B68=0,"-",(B68-D68)/B68)</f>
        <v>0.350524475524476</v>
      </c>
      <c r="H68" s="26" t="n">
        <f aca="false">IF(OR(B68=0,B67=0),"-",(B68-B67)/B67)</f>
        <v>-0.645710746361103</v>
      </c>
    </row>
    <row r="69" customFormat="false" ht="18" hidden="false" customHeight="true" outlineLevel="0" collapsed="false">
      <c r="A69" s="23" t="n">
        <v>46131</v>
      </c>
      <c r="B69" s="24" t="n">
        <v>797</v>
      </c>
      <c r="C69" s="24" t="n">
        <v>4410</v>
      </c>
      <c r="D69" s="24" t="n">
        <v>545</v>
      </c>
      <c r="E69" s="24" t="n">
        <v>124</v>
      </c>
      <c r="F69" s="25" t="n">
        <f aca="false">IF(B69=0,"-",B69-D69)</f>
        <v>252</v>
      </c>
      <c r="G69" s="26" t="n">
        <f aca="false">IF(B69=0,"-",(B69-D69)/B69)</f>
        <v>0.316185696361355</v>
      </c>
      <c r="H69" s="26" t="n">
        <f aca="false">IF(OR(B69=0,B68=0),"-",(B69-B68)/B68)</f>
        <v>-0.303321678321678</v>
      </c>
    </row>
    <row r="70" customFormat="false" ht="18" hidden="false" customHeight="true" outlineLevel="0" collapsed="false">
      <c r="A70" s="23" t="n">
        <v>46132</v>
      </c>
      <c r="B70" s="24" t="n">
        <v>3674</v>
      </c>
      <c r="C70" s="24" t="n">
        <v>4410</v>
      </c>
      <c r="D70" s="24" t="n">
        <v>2815</v>
      </c>
      <c r="E70" s="24" t="n">
        <v>877</v>
      </c>
      <c r="F70" s="25" t="n">
        <f aca="false">IF(B70=0,"-",B70-D70)</f>
        <v>859</v>
      </c>
      <c r="G70" s="26" t="n">
        <f aca="false">IF(B70=0,"-",(B70-D70)/B70)</f>
        <v>0.23380511703865</v>
      </c>
      <c r="H70" s="26" t="n">
        <f aca="false">IF(OR(B70=0,B69=0),"-",(B70-B69)/B69)</f>
        <v>3.60978670012547</v>
      </c>
    </row>
    <row r="71" customFormat="false" ht="18" hidden="false" customHeight="true" outlineLevel="0" collapsed="false">
      <c r="A71" s="23" t="n">
        <v>46133</v>
      </c>
      <c r="B71" s="24" t="n">
        <v>5472</v>
      </c>
      <c r="C71" s="24" t="n">
        <v>4410</v>
      </c>
      <c r="D71" s="24" t="n">
        <v>3825</v>
      </c>
      <c r="E71" s="24" t="n">
        <v>876</v>
      </c>
      <c r="F71" s="25" t="n">
        <f aca="false">IF(B71=0,"-",B71-D71)</f>
        <v>1647</v>
      </c>
      <c r="G71" s="26" t="n">
        <f aca="false">IF(B71=0,"-",(B71-D71)/B71)</f>
        <v>0.300986842105263</v>
      </c>
      <c r="H71" s="26" t="n">
        <f aca="false">IF(OR(B71=0,B70=0),"-",(B71-B70)/B70)</f>
        <v>0.489384866630376</v>
      </c>
    </row>
    <row r="72" customFormat="false" ht="18" hidden="false" customHeight="true" outlineLevel="0" collapsed="false">
      <c r="A72" s="23" t="n">
        <v>46134</v>
      </c>
      <c r="B72" s="24" t="n">
        <v>5878</v>
      </c>
      <c r="C72" s="24" t="n">
        <v>4410</v>
      </c>
      <c r="D72" s="24" t="n">
        <v>4411</v>
      </c>
      <c r="E72" s="24" t="n">
        <v>2021</v>
      </c>
      <c r="F72" s="25" t="n">
        <f aca="false">IF(B72=0,"-",B72-D72)</f>
        <v>1467</v>
      </c>
      <c r="G72" s="26" t="n">
        <f aca="false">IF(B72=0,"-",(B72-D72)/B72)</f>
        <v>0.249574685267098</v>
      </c>
      <c r="H72" s="26" t="n">
        <f aca="false">IF(OR(B72=0,B71=0),"-",(B72-B71)/B71)</f>
        <v>0.0741959064327485</v>
      </c>
    </row>
    <row r="73" customFormat="false" ht="18" hidden="false" customHeight="true" outlineLevel="0" collapsed="false">
      <c r="A73" s="23" t="n">
        <v>46135</v>
      </c>
      <c r="B73" s="24" t="n">
        <v>5664</v>
      </c>
      <c r="C73" s="24" t="n">
        <v>4410</v>
      </c>
      <c r="D73" s="24" t="n">
        <v>4264</v>
      </c>
      <c r="E73" s="24" t="n">
        <v>1038</v>
      </c>
      <c r="F73" s="25" t="n">
        <f aca="false">IF(B73=0,"-",B73-D73)</f>
        <v>1400</v>
      </c>
      <c r="G73" s="26" t="n">
        <f aca="false">IF(B73=0,"-",(B73-D73)/B73)</f>
        <v>0.247175141242938</v>
      </c>
      <c r="H73" s="26" t="n">
        <f aca="false">IF(OR(B73=0,B72=0),"-",(B73-B72)/B72)</f>
        <v>-0.036406941136441</v>
      </c>
    </row>
    <row r="74" customFormat="false" ht="18" hidden="false" customHeight="true" outlineLevel="0" collapsed="false">
      <c r="A74" s="23" t="n">
        <v>46136</v>
      </c>
      <c r="B74" s="24" t="n">
        <v>4368</v>
      </c>
      <c r="C74" s="24" t="n">
        <v>4410</v>
      </c>
      <c r="D74" s="24" t="n">
        <v>2789</v>
      </c>
      <c r="E74" s="24" t="n">
        <v>1006</v>
      </c>
      <c r="F74" s="25" t="n">
        <f aca="false">IF(B74=0,"-",B74-D74)</f>
        <v>1579</v>
      </c>
      <c r="G74" s="26" t="n">
        <f aca="false">IF(B74=0,"-",(B74-D74)/B74)</f>
        <v>0.361492673992674</v>
      </c>
      <c r="H74" s="26" t="n">
        <f aca="false">IF(OR(B74=0,B73=0),"-",(B74-B73)/B73)</f>
        <v>-0.228813559322034</v>
      </c>
    </row>
    <row r="75" customFormat="false" ht="18" hidden="false" customHeight="true" outlineLevel="0" collapsed="false">
      <c r="A75" s="23" t="n">
        <v>46137</v>
      </c>
      <c r="B75" s="24" t="n">
        <v>469</v>
      </c>
      <c r="C75" s="24" t="n">
        <v>4410</v>
      </c>
      <c r="D75" s="24" t="n">
        <v>317</v>
      </c>
      <c r="E75" s="24" t="n">
        <v>139</v>
      </c>
      <c r="F75" s="25" t="n">
        <f aca="false">IF(B75=0,"-",B75-D75)</f>
        <v>152</v>
      </c>
      <c r="G75" s="26" t="n">
        <f aca="false">IF(B75=0,"-",(B75-D75)/B75)</f>
        <v>0.32409381663113</v>
      </c>
      <c r="H75" s="26" t="n">
        <f aca="false">IF(OR(B75=0,B74=0),"-",(B75-B74)/B74)</f>
        <v>-0.892628205128205</v>
      </c>
    </row>
    <row r="76" customFormat="false" ht="18" hidden="false" customHeight="true" outlineLevel="0" collapsed="false">
      <c r="A76" s="23" t="n">
        <v>46138</v>
      </c>
      <c r="B76" s="24" t="n">
        <v>643</v>
      </c>
      <c r="C76" s="24" t="n">
        <v>4410</v>
      </c>
      <c r="D76" s="24" t="n">
        <v>487</v>
      </c>
      <c r="E76" s="24" t="n">
        <v>123</v>
      </c>
      <c r="F76" s="25" t="n">
        <f aca="false">IF(B76=0,"-",B76-D76)</f>
        <v>156</v>
      </c>
      <c r="G76" s="26" t="n">
        <f aca="false">IF(B76=0,"-",(B76-D76)/B76)</f>
        <v>0.242612752721617</v>
      </c>
      <c r="H76" s="26" t="n">
        <f aca="false">IF(OR(B76=0,B75=0),"-",(B76-B75)/B75)</f>
        <v>0.371002132196162</v>
      </c>
    </row>
    <row r="77" customFormat="false" ht="18" hidden="false" customHeight="true" outlineLevel="0" collapsed="false">
      <c r="A77" s="23" t="n">
        <v>46139</v>
      </c>
      <c r="B77" s="24" t="n">
        <v>4184</v>
      </c>
      <c r="C77" s="24" t="n">
        <v>4410</v>
      </c>
      <c r="D77" s="24" t="n">
        <v>3231</v>
      </c>
      <c r="E77" s="24" t="n">
        <v>1461</v>
      </c>
      <c r="F77" s="25" t="n">
        <f aca="false">IF(B77=0,"-",B77-D77)</f>
        <v>953</v>
      </c>
      <c r="G77" s="26" t="n">
        <f aca="false">IF(B77=0,"-",(B77-D77)/B77)</f>
        <v>0.227772466539197</v>
      </c>
      <c r="H77" s="26" t="n">
        <f aca="false">IF(OR(B77=0,B76=0),"-",(B77-B76)/B76)</f>
        <v>5.50699844479005</v>
      </c>
    </row>
    <row r="78" customFormat="false" ht="18" hidden="false" customHeight="true" outlineLevel="0" collapsed="false">
      <c r="A78" s="23" t="n">
        <v>46140</v>
      </c>
      <c r="B78" s="24" t="n">
        <v>4574</v>
      </c>
      <c r="C78" s="24" t="n">
        <v>4410</v>
      </c>
      <c r="D78" s="24" t="n">
        <v>3336</v>
      </c>
      <c r="E78" s="24" t="n">
        <v>828</v>
      </c>
      <c r="F78" s="25" t="n">
        <f aca="false">IF(B78=0,"-",B78-D78)</f>
        <v>1238</v>
      </c>
      <c r="G78" s="26" t="n">
        <f aca="false">IF(B78=0,"-",(B78-D78)/B78)</f>
        <v>0.270660253607346</v>
      </c>
      <c r="H78" s="26" t="n">
        <f aca="false">IF(OR(B78=0,B77=0),"-",(B78-B77)/B77)</f>
        <v>0.0932122370936903</v>
      </c>
    </row>
    <row r="79" customFormat="false" ht="18" hidden="false" customHeight="true" outlineLevel="0" collapsed="false">
      <c r="A79" s="23" t="n">
        <v>46141</v>
      </c>
      <c r="B79" s="24" t="n">
        <v>3812</v>
      </c>
      <c r="C79" s="24" t="n">
        <v>4410</v>
      </c>
      <c r="D79" s="24" t="n">
        <v>2952</v>
      </c>
      <c r="E79" s="24" t="n">
        <v>1013</v>
      </c>
      <c r="F79" s="25" t="n">
        <f aca="false">IF(B79=0,"-",B79-D79)</f>
        <v>860</v>
      </c>
      <c r="G79" s="26" t="n">
        <f aca="false">IF(B79=0,"-",(B79-D79)/B79)</f>
        <v>0.225603357817419</v>
      </c>
      <c r="H79" s="26" t="n">
        <f aca="false">IF(OR(B79=0,B78=0),"-",(B79-B78)/B78)</f>
        <v>-0.166593790992567</v>
      </c>
    </row>
    <row r="80" customFormat="false" ht="18" hidden="false" customHeight="true" outlineLevel="0" collapsed="false">
      <c r="A80" s="23" t="n">
        <v>46142</v>
      </c>
      <c r="B80" s="24" t="n">
        <v>4534</v>
      </c>
      <c r="C80" s="24" t="n">
        <v>4410</v>
      </c>
      <c r="D80" s="24" t="n">
        <v>3331</v>
      </c>
      <c r="E80" s="24" t="n">
        <v>732</v>
      </c>
      <c r="F80" s="25" t="n">
        <f aca="false">IF(B80=0,"-",B80-D80)</f>
        <v>1203</v>
      </c>
      <c r="G80" s="26" t="n">
        <f aca="false">IF(B80=0,"-",(B80-D80)/B80)</f>
        <v>0.26532862814292</v>
      </c>
      <c r="H80" s="26" t="n">
        <f aca="false">IF(OR(B80=0,B79=0),"-",(B80-B79)/B79)</f>
        <v>0.189401888772298</v>
      </c>
    </row>
    <row r="81" customFormat="false" ht="18" hidden="false" customHeight="true" outlineLevel="0" collapsed="false">
      <c r="A81" s="23" t="n">
        <v>46143</v>
      </c>
      <c r="B81" s="24" t="n">
        <v>4657</v>
      </c>
      <c r="C81" s="24" t="n">
        <v>4410</v>
      </c>
      <c r="D81" s="24" t="n">
        <v>3216</v>
      </c>
      <c r="E81" s="24" t="n">
        <v>1493</v>
      </c>
      <c r="F81" s="25" t="n">
        <f aca="false">IF(B81=0,"-",B81-D81)</f>
        <v>1441</v>
      </c>
      <c r="G81" s="26" t="n">
        <f aca="false">IF(B81=0,"-",(B81-D81)/B81)</f>
        <v>0.30942666952974</v>
      </c>
      <c r="H81" s="26" t="n">
        <f aca="false">IF(OR(B81=0,B80=0),"-",(B81-B80)/B80)</f>
        <v>0.0271283634759594</v>
      </c>
    </row>
    <row r="82" customFormat="false" ht="18" hidden="false" customHeight="true" outlineLevel="0" collapsed="false">
      <c r="A82" s="23" t="n">
        <v>46144</v>
      </c>
      <c r="B82" s="24" t="n">
        <v>552</v>
      </c>
      <c r="C82" s="24" t="n">
        <v>4410</v>
      </c>
      <c r="D82" s="24" t="n">
        <v>437</v>
      </c>
      <c r="E82" s="24" t="n">
        <v>64</v>
      </c>
      <c r="F82" s="25" t="n">
        <f aca="false">IF(B82=0,"-",B82-D82)</f>
        <v>115</v>
      </c>
      <c r="G82" s="26" t="n">
        <f aca="false">IF(B82=0,"-",(B82-D82)/B82)</f>
        <v>0.208333333333333</v>
      </c>
      <c r="H82" s="26" t="n">
        <f aca="false">IF(OR(B82=0,B81=0),"-",(B82-B81)/B81)</f>
        <v>-0.881468756710329</v>
      </c>
    </row>
    <row r="83" customFormat="false" ht="18" hidden="false" customHeight="true" outlineLevel="0" collapsed="false">
      <c r="A83" s="23" t="n">
        <v>46145</v>
      </c>
      <c r="B83" s="24" t="n">
        <v>576</v>
      </c>
      <c r="C83" s="24" t="n">
        <v>4410</v>
      </c>
      <c r="D83" s="24" t="n">
        <v>414</v>
      </c>
      <c r="E83" s="24" t="n">
        <v>135</v>
      </c>
      <c r="F83" s="25" t="n">
        <f aca="false">IF(B83=0,"-",B83-D83)</f>
        <v>162</v>
      </c>
      <c r="G83" s="26" t="n">
        <f aca="false">IF(B83=0,"-",(B83-D83)/B83)</f>
        <v>0.28125</v>
      </c>
      <c r="H83" s="26" t="n">
        <f aca="false">IF(OR(B83=0,B82=0),"-",(B83-B82)/B82)</f>
        <v>0.0434782608695652</v>
      </c>
    </row>
    <row r="84" customFormat="false" ht="18" hidden="false" customHeight="true" outlineLevel="0" collapsed="false">
      <c r="A84" s="23" t="n">
        <v>46146</v>
      </c>
      <c r="B84" s="24" t="n">
        <v>3631</v>
      </c>
      <c r="C84" s="24" t="n">
        <v>4410</v>
      </c>
      <c r="D84" s="24" t="n">
        <v>2257</v>
      </c>
      <c r="E84" s="24" t="n">
        <v>1191</v>
      </c>
      <c r="F84" s="25" t="n">
        <f aca="false">IF(B84=0,"-",B84-D84)</f>
        <v>1374</v>
      </c>
      <c r="G84" s="26" t="n">
        <f aca="false">IF(B84=0,"-",(B84-D84)/B84)</f>
        <v>0.378408152024236</v>
      </c>
      <c r="H84" s="26" t="n">
        <f aca="false">IF(OR(B84=0,B83=0),"-",(B84-B83)/B83)</f>
        <v>5.30381944444445</v>
      </c>
    </row>
    <row r="85" customFormat="false" ht="18" hidden="false" customHeight="true" outlineLevel="0" collapsed="false">
      <c r="A85" s="23" t="n">
        <v>46147</v>
      </c>
      <c r="B85" s="24" t="n">
        <v>3664</v>
      </c>
      <c r="C85" s="24" t="n">
        <v>4410</v>
      </c>
      <c r="D85" s="24" t="n">
        <v>2590</v>
      </c>
      <c r="E85" s="24" t="n">
        <v>1003</v>
      </c>
      <c r="F85" s="25" t="n">
        <f aca="false">IF(B85=0,"-",B85-D85)</f>
        <v>1074</v>
      </c>
      <c r="G85" s="26" t="n">
        <f aca="false">IF(B85=0,"-",(B85-D85)/B85)</f>
        <v>0.293122270742358</v>
      </c>
      <c r="H85" s="26" t="n">
        <f aca="false">IF(OR(B85=0,B84=0),"-",(B85-B84)/B84)</f>
        <v>0.00908840539796199</v>
      </c>
    </row>
    <row r="86" customFormat="false" ht="18" hidden="false" customHeight="true" outlineLevel="0" collapsed="false">
      <c r="A86" s="23" t="n">
        <v>46148</v>
      </c>
      <c r="B86" s="24" t="n">
        <v>4173</v>
      </c>
      <c r="C86" s="24" t="n">
        <v>4410</v>
      </c>
      <c r="D86" s="24" t="n">
        <v>2942</v>
      </c>
      <c r="E86" s="24" t="n">
        <v>1062</v>
      </c>
      <c r="F86" s="25" t="n">
        <f aca="false">IF(B86=0,"-",B86-D86)</f>
        <v>1231</v>
      </c>
      <c r="G86" s="26" t="n">
        <f aca="false">IF(B86=0,"-",(B86-D86)/B86)</f>
        <v>0.294991612748622</v>
      </c>
      <c r="H86" s="26" t="n">
        <f aca="false">IF(OR(B86=0,B85=0),"-",(B86-B85)/B85)</f>
        <v>0.138919213973799</v>
      </c>
    </row>
    <row r="87" customFormat="false" ht="18" hidden="false" customHeight="true" outlineLevel="0" collapsed="false">
      <c r="A87" s="23" t="n">
        <v>46149</v>
      </c>
      <c r="B87" s="24" t="n">
        <v>5688</v>
      </c>
      <c r="C87" s="24" t="n">
        <v>4410</v>
      </c>
      <c r="D87" s="24" t="n">
        <v>3622</v>
      </c>
      <c r="E87" s="24" t="n">
        <v>1668</v>
      </c>
      <c r="F87" s="25" t="n">
        <f aca="false">IF(B87=0,"-",B87-D87)</f>
        <v>2066</v>
      </c>
      <c r="G87" s="26" t="n">
        <f aca="false">IF(B87=0,"-",(B87-D87)/B87)</f>
        <v>0.363220815752461</v>
      </c>
      <c r="H87" s="26" t="n">
        <f aca="false">IF(OR(B87=0,B86=0),"-",(B87-B86)/B86)</f>
        <v>0.363048166786485</v>
      </c>
    </row>
    <row r="88" customFormat="false" ht="18" hidden="false" customHeight="true" outlineLevel="0" collapsed="false">
      <c r="A88" s="23" t="n">
        <v>46150</v>
      </c>
      <c r="B88" s="24" t="n">
        <v>3642</v>
      </c>
      <c r="C88" s="24" t="n">
        <v>4410</v>
      </c>
      <c r="D88" s="24" t="n">
        <v>2445</v>
      </c>
      <c r="E88" s="24" t="n">
        <v>1036</v>
      </c>
      <c r="F88" s="25" t="n">
        <f aca="false">IF(B88=0,"-",B88-D88)</f>
        <v>1197</v>
      </c>
      <c r="G88" s="26" t="n">
        <f aca="false">IF(B88=0,"-",(B88-D88)/B88)</f>
        <v>0.328665568369028</v>
      </c>
      <c r="H88" s="26" t="n">
        <f aca="false">IF(OR(B88=0,B87=0),"-",(B88-B87)/B87)</f>
        <v>-0.359704641350211</v>
      </c>
    </row>
    <row r="89" customFormat="false" ht="18" hidden="false" customHeight="true" outlineLevel="0" collapsed="false">
      <c r="A89" s="23" t="n">
        <v>46151</v>
      </c>
      <c r="B89" s="24" t="n">
        <v>672</v>
      </c>
      <c r="C89" s="24" t="n">
        <v>4410</v>
      </c>
      <c r="D89" s="24" t="n">
        <v>446</v>
      </c>
      <c r="E89" s="24" t="n">
        <v>168</v>
      </c>
      <c r="F89" s="25" t="n">
        <f aca="false">IF(B89=0,"-",B89-D89)</f>
        <v>226</v>
      </c>
      <c r="G89" s="26" t="n">
        <f aca="false">IF(B89=0,"-",(B89-D89)/B89)</f>
        <v>0.336309523809524</v>
      </c>
      <c r="H89" s="26" t="n">
        <f aca="false">IF(OR(B89=0,B88=0),"-",(B89-B88)/B88)</f>
        <v>-0.815485996705107</v>
      </c>
    </row>
    <row r="90" customFormat="false" ht="18" hidden="false" customHeight="true" outlineLevel="0" collapsed="false">
      <c r="A90" s="23" t="n">
        <v>46152</v>
      </c>
      <c r="B90" s="24" t="n">
        <v>481</v>
      </c>
      <c r="C90" s="24" t="n">
        <v>4410</v>
      </c>
      <c r="D90" s="24" t="n">
        <v>333</v>
      </c>
      <c r="E90" s="24" t="n">
        <v>144</v>
      </c>
      <c r="F90" s="25" t="n">
        <f aca="false">IF(B90=0,"-",B90-D90)</f>
        <v>148</v>
      </c>
      <c r="G90" s="26" t="n">
        <f aca="false">IF(B90=0,"-",(B90-D90)/B90)</f>
        <v>0.307692307692308</v>
      </c>
      <c r="H90" s="26" t="n">
        <f aca="false">IF(OR(B90=0,B89=0),"-",(B90-B89)/B89)</f>
        <v>-0.28422619047619</v>
      </c>
    </row>
    <row r="91" customFormat="false" ht="18" hidden="false" customHeight="true" outlineLevel="0" collapsed="false">
      <c r="A91" s="23" t="n">
        <v>46153</v>
      </c>
      <c r="B91" s="24" t="n">
        <v>5869</v>
      </c>
      <c r="C91" s="24" t="n">
        <v>4410</v>
      </c>
      <c r="D91" s="24" t="n">
        <v>3599</v>
      </c>
      <c r="E91" s="24" t="n">
        <v>1131</v>
      </c>
      <c r="F91" s="25" t="n">
        <f aca="false">IF(B91=0,"-",B91-D91)</f>
        <v>2270</v>
      </c>
      <c r="G91" s="26" t="n">
        <f aca="false">IF(B91=0,"-",(B91-D91)/B91)</f>
        <v>0.386777986028284</v>
      </c>
      <c r="H91" s="26" t="n">
        <f aca="false">IF(OR(B91=0,B90=0),"-",(B91-B90)/B90)</f>
        <v>11.2016632016632</v>
      </c>
    </row>
    <row r="92" customFormat="false" ht="18" hidden="false" customHeight="true" outlineLevel="0" collapsed="false">
      <c r="A92" s="23" t="n">
        <v>46154</v>
      </c>
      <c r="B92" s="24" t="n">
        <v>3720</v>
      </c>
      <c r="C92" s="24" t="n">
        <v>4410</v>
      </c>
      <c r="D92" s="24" t="n">
        <v>2857</v>
      </c>
      <c r="E92" s="24" t="n">
        <v>1213</v>
      </c>
      <c r="F92" s="25" t="n">
        <f aca="false">IF(B92=0,"-",B92-D92)</f>
        <v>863</v>
      </c>
      <c r="G92" s="26" t="n">
        <f aca="false">IF(B92=0,"-",(B92-D92)/B92)</f>
        <v>0.231989247311828</v>
      </c>
      <c r="H92" s="26" t="n">
        <f aca="false">IF(OR(B92=0,B91=0),"-",(B92-B91)/B91)</f>
        <v>-0.366161185891975</v>
      </c>
    </row>
    <row r="93" customFormat="false" ht="18" hidden="false" customHeight="true" outlineLevel="0" collapsed="false">
      <c r="A93" s="23" t="n">
        <v>46155</v>
      </c>
      <c r="B93" s="24" t="n">
        <v>5525</v>
      </c>
      <c r="C93" s="24" t="n">
        <v>4410</v>
      </c>
      <c r="D93" s="24" t="n">
        <v>3682</v>
      </c>
      <c r="E93" s="24" t="n">
        <v>1003</v>
      </c>
      <c r="F93" s="25" t="n">
        <f aca="false">IF(B93=0,"-",B93-D93)</f>
        <v>1843</v>
      </c>
      <c r="G93" s="26" t="n">
        <f aca="false">IF(B93=0,"-",(B93-D93)/B93)</f>
        <v>0.333574660633484</v>
      </c>
      <c r="H93" s="26" t="n">
        <f aca="false">IF(OR(B93=0,B92=0),"-",(B93-B92)/B92)</f>
        <v>0.485215053763441</v>
      </c>
    </row>
    <row r="94" customFormat="false" ht="18" hidden="false" customHeight="true" outlineLevel="0" collapsed="false">
      <c r="A94" s="23" t="n">
        <v>46156</v>
      </c>
      <c r="B94" s="24" t="n">
        <v>5391</v>
      </c>
      <c r="C94" s="24" t="n">
        <v>4410</v>
      </c>
      <c r="D94" s="24" t="n">
        <v>3917</v>
      </c>
      <c r="E94" s="24" t="n">
        <v>1468</v>
      </c>
      <c r="F94" s="25" t="n">
        <f aca="false">IF(B94=0,"-",B94-D94)</f>
        <v>1474</v>
      </c>
      <c r="G94" s="26" t="n">
        <f aca="false">IF(B94=0,"-",(B94-D94)/B94)</f>
        <v>0.273418660730848</v>
      </c>
      <c r="H94" s="26" t="n">
        <f aca="false">IF(OR(B94=0,B93=0),"-",(B94-B93)/B93)</f>
        <v>-0.0242533936651584</v>
      </c>
    </row>
    <row r="95" customFormat="false" ht="18" hidden="false" customHeight="true" outlineLevel="0" collapsed="false">
      <c r="A95" s="23" t="n">
        <v>46157</v>
      </c>
      <c r="B95" s="24" t="n">
        <v>5842</v>
      </c>
      <c r="C95" s="24" t="n">
        <v>4410</v>
      </c>
      <c r="D95" s="24" t="n">
        <v>4193</v>
      </c>
      <c r="E95" s="24" t="n">
        <v>885</v>
      </c>
      <c r="F95" s="25" t="n">
        <f aca="false">IF(B95=0,"-",B95-D95)</f>
        <v>1649</v>
      </c>
      <c r="G95" s="26" t="n">
        <f aca="false">IF(B95=0,"-",(B95-D95)/B95)</f>
        <v>0.28226634714139</v>
      </c>
      <c r="H95" s="26" t="n">
        <f aca="false">IF(OR(B95=0,B94=0),"-",(B95-B94)/B94)</f>
        <v>0.0836579484325728</v>
      </c>
    </row>
    <row r="96" customFormat="false" ht="24" hidden="false" customHeight="true" outlineLevel="0" collapsed="false">
      <c r="A96" s="27" t="s">
        <v>33</v>
      </c>
      <c r="B96" s="28" t="n">
        <f aca="false">SUM(B6:B95)</f>
        <v>317241</v>
      </c>
      <c r="C96" s="28" t="n">
        <f aca="false">SUM(C6:C95)</f>
        <v>396900</v>
      </c>
      <c r="D96" s="28" t="n">
        <f aca="false">SUM(D6:D95)</f>
        <v>217062</v>
      </c>
      <c r="E96" s="28" t="n">
        <f aca="false">SUM(E6:E95)</f>
        <v>78009</v>
      </c>
      <c r="F96" s="28" t="n">
        <f aca="false">SUM(F6:F95)</f>
        <v>100179</v>
      </c>
      <c r="G96" s="29" t="n">
        <f aca="false">IFERROR(AVERAGE(G6:G95),"-")</f>
        <v>0.316352902279035</v>
      </c>
      <c r="H96" s="29" t="s">
        <v>32</v>
      </c>
    </row>
    <row r="97" customFormat="false" ht="18" hidden="false" customHeight="true" outlineLevel="0" collapsed="false">
      <c r="A97" s="30"/>
      <c r="B97" s="24"/>
      <c r="C97" s="24"/>
      <c r="D97" s="24"/>
      <c r="E97" s="24"/>
      <c r="F97" s="25"/>
      <c r="G97" s="25"/>
      <c r="H97" s="25"/>
    </row>
    <row r="98" customFormat="false" ht="18" hidden="false" customHeight="true" outlineLevel="0" collapsed="false">
      <c r="A98" s="30"/>
      <c r="B98" s="24"/>
      <c r="C98" s="24"/>
      <c r="D98" s="24"/>
      <c r="E98" s="24"/>
      <c r="F98" s="25"/>
      <c r="G98" s="25"/>
      <c r="H98" s="25"/>
    </row>
    <row r="99" customFormat="false" ht="18" hidden="false" customHeight="true" outlineLevel="0" collapsed="false">
      <c r="A99" s="30"/>
      <c r="B99" s="24"/>
      <c r="C99" s="24"/>
      <c r="D99" s="24"/>
      <c r="E99" s="24"/>
      <c r="F99" s="25"/>
      <c r="G99" s="25"/>
      <c r="H99" s="25"/>
    </row>
    <row r="100" customFormat="false" ht="18" hidden="false" customHeight="true" outlineLevel="0" collapsed="false">
      <c r="A100" s="30"/>
      <c r="B100" s="24"/>
      <c r="C100" s="24"/>
      <c r="D100" s="24"/>
      <c r="E100" s="24"/>
      <c r="F100" s="25"/>
      <c r="G100" s="25"/>
      <c r="H100" s="25"/>
    </row>
    <row r="101" customFormat="false" ht="18" hidden="false" customHeight="true" outlineLevel="0" collapsed="false">
      <c r="A101" s="30"/>
      <c r="B101" s="24"/>
      <c r="C101" s="24"/>
      <c r="D101" s="24"/>
      <c r="E101" s="24"/>
      <c r="F101" s="25"/>
      <c r="G101" s="25"/>
      <c r="H101" s="25"/>
    </row>
    <row r="102" customFormat="false" ht="18" hidden="false" customHeight="true" outlineLevel="0" collapsed="false">
      <c r="A102" s="30"/>
      <c r="B102" s="24"/>
      <c r="C102" s="24"/>
      <c r="D102" s="24"/>
      <c r="E102" s="24"/>
      <c r="F102" s="25"/>
      <c r="G102" s="25"/>
      <c r="H102" s="25"/>
    </row>
    <row r="103" customFormat="false" ht="18" hidden="false" customHeight="true" outlineLevel="0" collapsed="false">
      <c r="A103" s="30"/>
      <c r="B103" s="24"/>
      <c r="C103" s="24"/>
      <c r="D103" s="24"/>
      <c r="E103" s="24"/>
      <c r="F103" s="25"/>
      <c r="G103" s="25"/>
      <c r="H103" s="25"/>
    </row>
    <row r="104" customFormat="false" ht="18" hidden="false" customHeight="true" outlineLevel="0" collapsed="false">
      <c r="A104" s="30"/>
      <c r="B104" s="24"/>
      <c r="C104" s="24"/>
      <c r="D104" s="24"/>
      <c r="E104" s="24"/>
      <c r="F104" s="25"/>
      <c r="G104" s="25"/>
      <c r="H104" s="25"/>
    </row>
    <row r="105" customFormat="false" ht="18" hidden="false" customHeight="true" outlineLevel="0" collapsed="false">
      <c r="A105" s="30"/>
      <c r="B105" s="24"/>
      <c r="C105" s="24"/>
      <c r="D105" s="24"/>
      <c r="E105" s="24"/>
      <c r="F105" s="25"/>
      <c r="G105" s="25"/>
      <c r="H105" s="25"/>
    </row>
    <row r="106" customFormat="false" ht="18" hidden="false" customHeight="true" outlineLevel="0" collapsed="false">
      <c r="A106" s="30"/>
      <c r="B106" s="24"/>
      <c r="C106" s="24"/>
      <c r="D106" s="24"/>
      <c r="E106" s="24"/>
      <c r="F106" s="25"/>
      <c r="G106" s="25"/>
      <c r="H106" s="25"/>
    </row>
    <row r="107" customFormat="false" ht="18" hidden="false" customHeight="true" outlineLevel="0" collapsed="false">
      <c r="A107" s="30"/>
      <c r="B107" s="24"/>
      <c r="C107" s="24"/>
      <c r="D107" s="24"/>
      <c r="E107" s="24"/>
      <c r="F107" s="25"/>
      <c r="G107" s="25"/>
      <c r="H107" s="25"/>
    </row>
    <row r="108" customFormat="false" ht="18" hidden="false" customHeight="true" outlineLevel="0" collapsed="false">
      <c r="A108" s="30"/>
      <c r="B108" s="24"/>
      <c r="C108" s="24"/>
      <c r="D108" s="24"/>
      <c r="E108" s="24"/>
      <c r="F108" s="25"/>
      <c r="G108" s="25"/>
      <c r="H108" s="25"/>
    </row>
    <row r="109" customFormat="false" ht="18" hidden="false" customHeight="true" outlineLevel="0" collapsed="false">
      <c r="A109" s="30"/>
      <c r="B109" s="24"/>
      <c r="C109" s="24"/>
      <c r="D109" s="24"/>
      <c r="E109" s="24"/>
      <c r="F109" s="25"/>
      <c r="G109" s="25"/>
      <c r="H109" s="25"/>
    </row>
    <row r="110" customFormat="false" ht="18" hidden="false" customHeight="true" outlineLevel="0" collapsed="false">
      <c r="A110" s="30"/>
      <c r="B110" s="24"/>
      <c r="C110" s="24"/>
      <c r="D110" s="24"/>
      <c r="E110" s="24"/>
      <c r="F110" s="25"/>
      <c r="G110" s="25"/>
      <c r="H110" s="25"/>
    </row>
    <row r="111" customFormat="false" ht="18" hidden="false" customHeight="true" outlineLevel="0" collapsed="false">
      <c r="A111" s="30"/>
      <c r="B111" s="24"/>
      <c r="C111" s="24"/>
      <c r="D111" s="24"/>
      <c r="E111" s="24"/>
      <c r="F111" s="25"/>
      <c r="G111" s="25"/>
      <c r="H111" s="25"/>
    </row>
    <row r="112" customFormat="false" ht="18" hidden="false" customHeight="true" outlineLevel="0" collapsed="false">
      <c r="A112" s="30"/>
      <c r="B112" s="24"/>
      <c r="C112" s="24"/>
      <c r="D112" s="24"/>
      <c r="E112" s="24"/>
      <c r="F112" s="25"/>
      <c r="G112" s="25"/>
      <c r="H112" s="25"/>
    </row>
    <row r="113" customFormat="false" ht="18" hidden="false" customHeight="true" outlineLevel="0" collapsed="false">
      <c r="A113" s="30"/>
      <c r="B113" s="24"/>
      <c r="C113" s="24"/>
      <c r="D113" s="24"/>
      <c r="E113" s="24"/>
      <c r="F113" s="25"/>
      <c r="G113" s="25"/>
      <c r="H113" s="25"/>
    </row>
    <row r="114" customFormat="false" ht="18" hidden="false" customHeight="true" outlineLevel="0" collapsed="false">
      <c r="A114" s="30"/>
      <c r="B114" s="24"/>
      <c r="C114" s="24"/>
      <c r="D114" s="24"/>
      <c r="E114" s="24"/>
      <c r="F114" s="25"/>
      <c r="G114" s="25"/>
      <c r="H114" s="25"/>
    </row>
    <row r="115" customFormat="false" ht="18" hidden="false" customHeight="true" outlineLevel="0" collapsed="false">
      <c r="A115" s="30"/>
      <c r="B115" s="24"/>
      <c r="C115" s="24"/>
      <c r="D115" s="24"/>
      <c r="E115" s="24"/>
      <c r="F115" s="25"/>
      <c r="G115" s="25"/>
      <c r="H115" s="25"/>
    </row>
    <row r="116" customFormat="false" ht="18" hidden="false" customHeight="true" outlineLevel="0" collapsed="false">
      <c r="A116" s="30"/>
      <c r="B116" s="24"/>
      <c r="C116" s="24"/>
      <c r="D116" s="24"/>
      <c r="E116" s="24"/>
      <c r="F116" s="25"/>
      <c r="G116" s="25"/>
      <c r="H116" s="25"/>
    </row>
    <row r="117" customFormat="false" ht="18" hidden="false" customHeight="true" outlineLevel="0" collapsed="false">
      <c r="A117" s="30"/>
      <c r="B117" s="24"/>
      <c r="C117" s="24"/>
      <c r="D117" s="24"/>
      <c r="E117" s="24"/>
      <c r="F117" s="25"/>
      <c r="G117" s="25"/>
      <c r="H117" s="25"/>
    </row>
    <row r="118" customFormat="false" ht="18" hidden="false" customHeight="true" outlineLevel="0" collapsed="false">
      <c r="A118" s="30"/>
      <c r="B118" s="24"/>
      <c r="C118" s="24"/>
      <c r="D118" s="24"/>
      <c r="E118" s="24"/>
      <c r="F118" s="25"/>
      <c r="G118" s="25"/>
      <c r="H118" s="25"/>
    </row>
    <row r="119" customFormat="false" ht="18" hidden="false" customHeight="true" outlineLevel="0" collapsed="false">
      <c r="A119" s="30"/>
      <c r="B119" s="24"/>
      <c r="C119" s="24"/>
      <c r="D119" s="24"/>
      <c r="E119" s="24"/>
      <c r="F119" s="25"/>
      <c r="G119" s="25"/>
      <c r="H119" s="25"/>
    </row>
    <row r="120" customFormat="false" ht="18" hidden="false" customHeight="true" outlineLevel="0" collapsed="false">
      <c r="A120" s="30"/>
      <c r="B120" s="24"/>
      <c r="C120" s="24"/>
      <c r="D120" s="24"/>
      <c r="E120" s="24"/>
      <c r="F120" s="25"/>
      <c r="G120" s="25"/>
      <c r="H120" s="25"/>
    </row>
    <row r="121" customFormat="false" ht="18" hidden="false" customHeight="true" outlineLevel="0" collapsed="false">
      <c r="A121" s="30"/>
      <c r="B121" s="24"/>
      <c r="C121" s="24"/>
      <c r="D121" s="24"/>
      <c r="E121" s="24"/>
      <c r="F121" s="25"/>
      <c r="G121" s="25"/>
      <c r="H121" s="25"/>
    </row>
    <row r="122" customFormat="false" ht="18" hidden="false" customHeight="true" outlineLevel="0" collapsed="false">
      <c r="A122" s="30"/>
      <c r="B122" s="24"/>
      <c r="C122" s="24"/>
      <c r="D122" s="24"/>
      <c r="E122" s="24"/>
      <c r="F122" s="25"/>
      <c r="G122" s="25"/>
      <c r="H122" s="25"/>
    </row>
    <row r="123" customFormat="false" ht="18" hidden="false" customHeight="true" outlineLevel="0" collapsed="false">
      <c r="A123" s="30"/>
      <c r="B123" s="24"/>
      <c r="C123" s="24"/>
      <c r="D123" s="24"/>
      <c r="E123" s="24"/>
      <c r="F123" s="25"/>
      <c r="G123" s="25"/>
      <c r="H123" s="25"/>
    </row>
    <row r="124" customFormat="false" ht="18" hidden="false" customHeight="true" outlineLevel="0" collapsed="false">
      <c r="A124" s="30"/>
      <c r="B124" s="24"/>
      <c r="C124" s="24"/>
      <c r="D124" s="24"/>
      <c r="E124" s="24"/>
      <c r="F124" s="25"/>
      <c r="G124" s="25"/>
      <c r="H124" s="25"/>
    </row>
    <row r="125" customFormat="false" ht="18" hidden="false" customHeight="true" outlineLevel="0" collapsed="false">
      <c r="A125" s="30"/>
      <c r="B125" s="24"/>
      <c r="C125" s="24"/>
      <c r="D125" s="24"/>
      <c r="E125" s="24"/>
      <c r="F125" s="25"/>
      <c r="G125" s="25"/>
      <c r="H125" s="25"/>
    </row>
    <row r="126" customFormat="false" ht="18" hidden="false" customHeight="true" outlineLevel="0" collapsed="false">
      <c r="A126" s="30"/>
      <c r="B126" s="24"/>
      <c r="C126" s="24"/>
      <c r="D126" s="24"/>
      <c r="E126" s="24"/>
      <c r="F126" s="25"/>
      <c r="G126" s="25"/>
      <c r="H126" s="25"/>
    </row>
  </sheetData>
  <mergeCells count="4">
    <mergeCell ref="A1:H1"/>
    <mergeCell ref="A2:H2"/>
    <mergeCell ref="B4:E4"/>
    <mergeCell ref="F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2"/>
  </cols>
  <sheetData>
    <row r="1" customFormat="false" ht="36" hidden="false" customHeight="true" outlineLevel="0" collapsed="false">
      <c r="A1" s="31" t="s">
        <v>34</v>
      </c>
      <c r="B1" s="31"/>
      <c r="C1" s="31"/>
      <c r="D1" s="31"/>
      <c r="E1" s="31"/>
    </row>
    <row r="2" customFormat="false" ht="18" hidden="false" customHeight="true" outlineLevel="0" collapsed="false">
      <c r="A2" s="2" t="s">
        <v>35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7.5" hidden="false" customHeight="true" outlineLevel="0" collapsed="false"/>
    <row r="5" customFormat="false" ht="27.75" hidden="false" customHeight="true" outlineLevel="0" collapsed="false">
      <c r="A5" s="19" t="s">
        <v>36</v>
      </c>
      <c r="B5" s="19" t="s">
        <v>37</v>
      </c>
      <c r="C5" s="22" t="s">
        <v>38</v>
      </c>
      <c r="D5" s="19" t="s">
        <v>26</v>
      </c>
      <c r="E5" s="22" t="s">
        <v>39</v>
      </c>
    </row>
    <row r="6" customFormat="false" ht="21.75" hidden="false" customHeight="true" outlineLevel="0" collapsed="false">
      <c r="A6" s="32" t="s">
        <v>40</v>
      </c>
      <c r="B6" s="24" t="n">
        <v>44200</v>
      </c>
      <c r="C6" s="26" t="n">
        <f aca="false">IFERROR(B6/SUM($B$6:$B$13),"-")</f>
        <v>0.533816425120773</v>
      </c>
      <c r="D6" s="24" t="n">
        <v>46000</v>
      </c>
      <c r="E6" s="33" t="s">
        <v>41</v>
      </c>
    </row>
    <row r="7" customFormat="false" ht="21.75" hidden="false" customHeight="true" outlineLevel="0" collapsed="false">
      <c r="A7" s="32" t="s">
        <v>42</v>
      </c>
      <c r="B7" s="24" t="n">
        <v>19300</v>
      </c>
      <c r="C7" s="26" t="n">
        <f aca="false">IFERROR(B7/SUM($B$6:$B$13),"-")</f>
        <v>0.233091787439614</v>
      </c>
      <c r="D7" s="24" t="n">
        <v>20000</v>
      </c>
      <c r="E7" s="33" t="s">
        <v>43</v>
      </c>
    </row>
    <row r="8" customFormat="false" ht="21.75" hidden="false" customHeight="true" outlineLevel="0" collapsed="false">
      <c r="A8" s="32" t="s">
        <v>44</v>
      </c>
      <c r="B8" s="24" t="n">
        <v>8100</v>
      </c>
      <c r="C8" s="26" t="n">
        <f aca="false">IFERROR(B8/SUM($B$6:$B$13),"-")</f>
        <v>0.0978260869565217</v>
      </c>
      <c r="D8" s="24" t="n">
        <v>8000</v>
      </c>
      <c r="E8" s="33" t="s">
        <v>45</v>
      </c>
    </row>
    <row r="9" customFormat="false" ht="21.75" hidden="false" customHeight="true" outlineLevel="0" collapsed="false">
      <c r="A9" s="32" t="s">
        <v>46</v>
      </c>
      <c r="B9" s="24" t="n">
        <v>4900</v>
      </c>
      <c r="C9" s="26" t="n">
        <f aca="false">IFERROR(B9/SUM($B$6:$B$13),"-")</f>
        <v>0.0591787439613527</v>
      </c>
      <c r="D9" s="24" t="n">
        <v>6000</v>
      </c>
      <c r="E9" s="33" t="s">
        <v>47</v>
      </c>
    </row>
    <row r="10" customFormat="false" ht="21.75" hidden="false" customHeight="true" outlineLevel="0" collapsed="false">
      <c r="A10" s="32" t="s">
        <v>48</v>
      </c>
      <c r="B10" s="24" t="n">
        <v>2800</v>
      </c>
      <c r="C10" s="26" t="n">
        <f aca="false">IFERROR(B10/SUM($B$6:$B$13),"-")</f>
        <v>0.0338164251207729</v>
      </c>
      <c r="D10" s="24" t="n">
        <v>3000</v>
      </c>
      <c r="E10" s="33" t="s">
        <v>49</v>
      </c>
    </row>
    <row r="11" customFormat="false" ht="21.75" hidden="false" customHeight="true" outlineLevel="0" collapsed="false">
      <c r="A11" s="32" t="s">
        <v>50</v>
      </c>
      <c r="B11" s="24" t="n">
        <v>1200</v>
      </c>
      <c r="C11" s="26" t="n">
        <f aca="false">IFERROR(B11/SUM($B$6:$B$13),"-")</f>
        <v>0.0144927536231884</v>
      </c>
      <c r="D11" s="24" t="n">
        <v>1500</v>
      </c>
      <c r="E11" s="33" t="s">
        <v>51</v>
      </c>
    </row>
    <row r="12" customFormat="false" ht="21.75" hidden="false" customHeight="true" outlineLevel="0" collapsed="false">
      <c r="A12" s="32" t="s">
        <v>52</v>
      </c>
      <c r="B12" s="24" t="n">
        <v>1400</v>
      </c>
      <c r="C12" s="26" t="n">
        <f aca="false">IFERROR(B12/SUM($B$6:$B$13),"-")</f>
        <v>0.0169082125603865</v>
      </c>
      <c r="D12" s="24" t="n">
        <v>1400</v>
      </c>
      <c r="E12" s="33" t="s">
        <v>53</v>
      </c>
    </row>
    <row r="13" customFormat="false" ht="21.75" hidden="false" customHeight="true" outlineLevel="0" collapsed="false">
      <c r="A13" s="32" t="s">
        <v>54</v>
      </c>
      <c r="B13" s="24" t="n">
        <v>900</v>
      </c>
      <c r="C13" s="26" t="n">
        <f aca="false">IFERROR(B13/SUM($B$6:$B$13),"-")</f>
        <v>0.0108695652173913</v>
      </c>
      <c r="D13" s="24" t="n">
        <v>1000</v>
      </c>
      <c r="E13" s="33" t="s">
        <v>55</v>
      </c>
    </row>
    <row r="14" customFormat="false" ht="21.75" hidden="false" customHeight="true" outlineLevel="0" collapsed="false">
      <c r="A14" s="32"/>
      <c r="B14" s="24"/>
      <c r="C14" s="26"/>
      <c r="D14" s="24"/>
      <c r="E14" s="34"/>
    </row>
    <row r="15" customFormat="false" ht="21.75" hidden="false" customHeight="true" outlineLevel="0" collapsed="false">
      <c r="A15" s="32"/>
      <c r="B15" s="24"/>
      <c r="C15" s="26"/>
      <c r="D15" s="24"/>
      <c r="E15" s="34"/>
    </row>
    <row r="16" customFormat="false" ht="21.75" hidden="false" customHeight="true" outlineLevel="0" collapsed="false">
      <c r="A16" s="32"/>
      <c r="B16" s="24"/>
      <c r="C16" s="26"/>
      <c r="D16" s="24"/>
      <c r="E16" s="34"/>
    </row>
    <row r="17" customFormat="false" ht="21.75" hidden="false" customHeight="true" outlineLevel="0" collapsed="false">
      <c r="A17" s="32"/>
      <c r="B17" s="24"/>
      <c r="C17" s="26"/>
      <c r="D17" s="24"/>
      <c r="E17" s="34"/>
    </row>
    <row r="18" customFormat="false" ht="21.75" hidden="false" customHeight="true" outlineLevel="0" collapsed="false">
      <c r="A18" s="32"/>
      <c r="B18" s="24"/>
      <c r="C18" s="26"/>
      <c r="D18" s="24"/>
      <c r="E18" s="34"/>
    </row>
    <row r="20" customFormat="false" ht="24" hidden="false" customHeight="true" outlineLevel="0" collapsed="false">
      <c r="A20" s="32" t="s">
        <v>56</v>
      </c>
      <c r="B20" s="28" t="n">
        <f aca="false">SUM(B6:B19)</f>
        <v>82800</v>
      </c>
      <c r="C20" s="29" t="s">
        <v>57</v>
      </c>
      <c r="D20" s="28" t="n">
        <f aca="false">SUM(D6:D19)</f>
        <v>86900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36" hidden="false" customHeight="true" outlineLevel="0" collapsed="false">
      <c r="A1" s="35" t="s">
        <v>58</v>
      </c>
      <c r="B1" s="35"/>
      <c r="C1" s="35"/>
      <c r="D1" s="35"/>
    </row>
    <row r="2" customFormat="false" ht="18" hidden="false" customHeight="true" outlineLevel="0" collapsed="false">
      <c r="A2" s="2" t="s">
        <v>59</v>
      </c>
      <c r="B2" s="2"/>
      <c r="C2" s="2"/>
      <c r="D2" s="2"/>
    </row>
    <row r="3" customFormat="false" ht="7.5" hidden="false" customHeight="true" outlineLevel="0" collapsed="false"/>
    <row r="4" customFormat="false" ht="27.75" hidden="false" customHeight="true" outlineLevel="0" collapsed="false">
      <c r="A4" s="21" t="s">
        <v>60</v>
      </c>
      <c r="B4" s="21" t="s">
        <v>61</v>
      </c>
      <c r="C4" s="22" t="s">
        <v>62</v>
      </c>
      <c r="D4" s="22" t="s">
        <v>39</v>
      </c>
    </row>
    <row r="5" customFormat="false" ht="21.75" hidden="false" customHeight="true" outlineLevel="0" collapsed="false">
      <c r="A5" s="36" t="s">
        <v>63</v>
      </c>
      <c r="B5" s="36"/>
      <c r="C5" s="36"/>
      <c r="D5" s="36"/>
    </row>
    <row r="6" customFormat="false" ht="21.75" hidden="false" customHeight="true" outlineLevel="0" collapsed="false">
      <c r="A6" s="37" t="s">
        <v>64</v>
      </c>
      <c r="B6" s="24" t="n">
        <v>48500</v>
      </c>
      <c r="C6" s="24" t="n">
        <v>42300</v>
      </c>
      <c r="D6" s="33" t="s">
        <v>65</v>
      </c>
    </row>
    <row r="7" customFormat="false" ht="21.75" hidden="false" customHeight="true" outlineLevel="0" collapsed="false">
      <c r="A7" s="37" t="s">
        <v>66</v>
      </c>
      <c r="B7" s="24" t="n">
        <v>32000</v>
      </c>
      <c r="C7" s="24" t="n">
        <v>28500</v>
      </c>
      <c r="D7" s="33" t="s">
        <v>67</v>
      </c>
    </row>
    <row r="8" customFormat="false" ht="21.75" hidden="false" customHeight="true" outlineLevel="0" collapsed="false">
      <c r="A8" s="37" t="s">
        <v>68</v>
      </c>
      <c r="B8" s="24" t="n">
        <v>15200</v>
      </c>
      <c r="C8" s="24" t="n">
        <v>17800</v>
      </c>
      <c r="D8" s="33" t="s">
        <v>69</v>
      </c>
    </row>
    <row r="9" customFormat="false" ht="21.75" hidden="false" customHeight="true" outlineLevel="0" collapsed="false">
      <c r="A9" s="37" t="s">
        <v>70</v>
      </c>
      <c r="B9" s="24" t="n">
        <v>4800</v>
      </c>
      <c r="C9" s="24" t="n">
        <v>3900</v>
      </c>
      <c r="D9" s="33" t="s">
        <v>71</v>
      </c>
    </row>
    <row r="10" customFormat="false" ht="21.75" hidden="false" customHeight="true" outlineLevel="0" collapsed="false">
      <c r="A10" s="36" t="s">
        <v>72</v>
      </c>
      <c r="B10" s="36"/>
      <c r="C10" s="36"/>
      <c r="D10" s="36"/>
    </row>
    <row r="11" customFormat="false" ht="21.75" hidden="false" customHeight="true" outlineLevel="0" collapsed="false">
      <c r="A11" s="37" t="s">
        <v>73</v>
      </c>
      <c r="B11" s="24" t="n">
        <v>22400</v>
      </c>
      <c r="C11" s="24" t="n">
        <v>19800</v>
      </c>
      <c r="D11" s="33" t="s">
        <v>74</v>
      </c>
    </row>
    <row r="12" customFormat="false" ht="21.75" hidden="false" customHeight="true" outlineLevel="0" collapsed="false">
      <c r="A12" s="37" t="s">
        <v>75</v>
      </c>
      <c r="B12" s="24" t="n">
        <v>8200</v>
      </c>
      <c r="C12" s="24" t="n">
        <v>7600</v>
      </c>
      <c r="D12" s="33" t="s">
        <v>76</v>
      </c>
    </row>
    <row r="13" customFormat="false" ht="21.75" hidden="false" customHeight="true" outlineLevel="0" collapsed="false">
      <c r="A13" s="37" t="s">
        <v>77</v>
      </c>
      <c r="B13" s="24" t="n">
        <v>3100</v>
      </c>
      <c r="C13" s="24" t="n">
        <v>2800</v>
      </c>
      <c r="D13" s="33" t="s">
        <v>78</v>
      </c>
    </row>
    <row r="14" customFormat="false" ht="21.75" hidden="false" customHeight="true" outlineLevel="0" collapsed="false">
      <c r="A14" s="36" t="s">
        <v>79</v>
      </c>
      <c r="B14" s="36"/>
      <c r="C14" s="36"/>
      <c r="D14" s="36"/>
    </row>
    <row r="15" customFormat="false" ht="21.75" hidden="false" customHeight="true" outlineLevel="0" collapsed="false">
      <c r="A15" s="37" t="s">
        <v>80</v>
      </c>
      <c r="B15" s="24" t="n">
        <v>1180000</v>
      </c>
      <c r="C15" s="24" t="n">
        <v>1050000</v>
      </c>
      <c r="D15" s="33" t="s">
        <v>81</v>
      </c>
    </row>
    <row r="16" customFormat="false" ht="21.75" hidden="false" customHeight="true" outlineLevel="0" collapsed="false">
      <c r="A16" s="37" t="s">
        <v>82</v>
      </c>
      <c r="B16" s="24" t="n">
        <v>30</v>
      </c>
      <c r="C16" s="24" t="n">
        <v>30</v>
      </c>
      <c r="D16" s="33" t="s">
        <v>83</v>
      </c>
    </row>
    <row r="17" customFormat="false" ht="21.75" hidden="false" customHeight="true" outlineLevel="0" collapsed="false">
      <c r="A17" s="37" t="s">
        <v>84</v>
      </c>
      <c r="B17" s="24" t="n">
        <v>45</v>
      </c>
      <c r="C17" s="24" t="n">
        <v>45</v>
      </c>
      <c r="D17" s="33" t="s">
        <v>83</v>
      </c>
    </row>
  </sheetData>
  <mergeCells count="5">
    <mergeCell ref="A1:D1"/>
    <mergeCell ref="A2:D2"/>
    <mergeCell ref="A5:D5"/>
    <mergeCell ref="A10:D10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44"/>
  </cols>
  <sheetData>
    <row r="1" customFormat="false" ht="36" hidden="false" customHeight="true" outlineLevel="0" collapsed="false">
      <c r="A1" s="38" t="s">
        <v>10</v>
      </c>
      <c r="B1" s="38"/>
    </row>
    <row r="2" customFormat="false" ht="18" hidden="false" customHeight="true" outlineLevel="0" collapsed="false">
      <c r="A2" s="2" t="s">
        <v>85</v>
      </c>
      <c r="B2" s="2"/>
    </row>
    <row r="3" customFormat="false" ht="7.5" hidden="false" customHeight="true" outlineLevel="0" collapsed="false"/>
    <row r="4" customFormat="false" ht="21.75" hidden="false" customHeight="true" outlineLevel="0" collapsed="false">
      <c r="B4" s="39" t="s">
        <v>86</v>
      </c>
      <c r="C4" s="39"/>
    </row>
    <row r="5" customFormat="false" ht="21.75" hidden="false" customHeight="true" outlineLevel="0" collapsed="false">
      <c r="B5" s="32" t="s">
        <v>87</v>
      </c>
      <c r="C5" s="40" t="s">
        <v>88</v>
      </c>
    </row>
    <row r="6" customFormat="false" ht="21.75" hidden="false" customHeight="true" outlineLevel="0" collapsed="false">
      <c r="B6" s="32" t="s">
        <v>89</v>
      </c>
      <c r="C6" s="40" t="s">
        <v>90</v>
      </c>
    </row>
    <row r="7" customFormat="false" ht="21.75" hidden="false" customHeight="true" outlineLevel="0" collapsed="false">
      <c r="B7" s="32" t="s">
        <v>91</v>
      </c>
      <c r="C7" s="40" t="s">
        <v>92</v>
      </c>
    </row>
    <row r="8" customFormat="false" ht="21.75" hidden="false" customHeight="true" outlineLevel="0" collapsed="false">
      <c r="B8" s="39" t="s">
        <v>93</v>
      </c>
      <c r="C8" s="39"/>
    </row>
    <row r="9" customFormat="false" ht="21.75" hidden="false" customHeight="true" outlineLevel="0" collapsed="false">
      <c r="B9" s="32" t="s">
        <v>94</v>
      </c>
      <c r="C9" s="40" t="s">
        <v>95</v>
      </c>
    </row>
    <row r="10" customFormat="false" ht="21.75" hidden="false" customHeight="true" outlineLevel="0" collapsed="false">
      <c r="B10" s="32" t="s">
        <v>96</v>
      </c>
      <c r="C10" s="40" t="s">
        <v>97</v>
      </c>
    </row>
    <row r="11" customFormat="false" ht="21.75" hidden="false" customHeight="true" outlineLevel="0" collapsed="false">
      <c r="B11" s="39" t="s">
        <v>98</v>
      </c>
      <c r="C11" s="39"/>
    </row>
    <row r="12" customFormat="false" ht="21.75" hidden="false" customHeight="true" outlineLevel="0" collapsed="false">
      <c r="B12" s="32" t="s">
        <v>99</v>
      </c>
      <c r="C12" s="40" t="s">
        <v>100</v>
      </c>
    </row>
    <row r="13" customFormat="false" ht="21.75" hidden="false" customHeight="true" outlineLevel="0" collapsed="false">
      <c r="B13" s="32" t="s">
        <v>101</v>
      </c>
      <c r="C13" s="40" t="s">
        <v>102</v>
      </c>
    </row>
  </sheetData>
  <mergeCells count="5">
    <mergeCell ref="A1:B1"/>
    <mergeCell ref="A2:B2"/>
    <mergeCell ref="B4:C4"/>
    <mergeCell ref="B8:C8"/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2026-05-15T14:59:33Z</dcterms:created>
  <dc:creator>openpyxl</dc:creator>
  <dc:description/>
  <dc:language>en-US</dc:language>
  <cp:lastModifiedBy/>
  <dcterms:modified xsi:type="dcterms:W3CDTF">2026-05-15T14:59:33Z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