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📋 Instructies" sheetId="1" state="visible" r:id="rId3"/>
    <sheet name="📊 Maanddata" sheetId="2" state="visible" r:id="rId4"/>
    <sheet name="🏷️ Kostendata" sheetId="3" state="visible" r:id="rId5"/>
    <sheet name="⚙️ Instelling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<sst xmlns="http://schemas.openxmlformats.org/spreadsheetml/2006/main" count="117" uniqueCount="93">
  <si>
    <t xml:space="preserve">FinFlowApp — Upload Sjabloon</t>
  </si>
  <si>
    <t xml:space="preserve">Volg de onderstaande instructies voor een correcte upload naar FinFlowApp</t>
  </si>
  <si>
    <t xml:space="preserve">  Sheet 1: 📊 Maanddata</t>
  </si>
  <si>
    <t xml:space="preserve">Vereist:</t>
  </si>
  <si>
    <t xml:space="preserve">VERPLICHT</t>
  </si>
  <si>
    <t xml:space="preserve">Omschrijving:</t>
  </si>
  <si>
    <t xml:space="preserve">Maandelijkse omzet, kosten, budget en cashflow. Minimaal 3 maanden, maximaal 24.</t>
  </si>
  <si>
    <t xml:space="preserve">  Sheet 2: 🏷️ Kostendata</t>
  </si>
  <si>
    <t xml:space="preserve">AANBEVOLEN</t>
  </si>
  <si>
    <t xml:space="preserve">Uitsplitsing van kosten per categorie voor de huidige periode.</t>
  </si>
  <si>
    <t xml:space="preserve">  Sheet 3: ⚙️ Instellingen</t>
  </si>
  <si>
    <t xml:space="preserve">OPTIONEEL</t>
  </si>
  <si>
    <t xml:space="preserve">Bedrijfsnaam, sector en rapportageperiode instellen.</t>
  </si>
  <si>
    <t xml:space="preserve">  Regels &amp; Tips</t>
  </si>
  <si>
    <t xml:space="preserve">  ✓  Bedragen invoeren zonder €-teken, zonder punten als duizendtalscheiding</t>
  </si>
  <si>
    <t xml:space="preserve">  ✓  Maandnamen gebruiken: Jan, Feb, Mrt, Apr, Mei, Jun, Jul, Aug, Sep, Okt, Nov, Dec</t>
  </si>
  <si>
    <t xml:space="preserve">  ✓  Blauwe cellen zijn invoervelden — vul hier jouw gegevens in</t>
  </si>
  <si>
    <t xml:space="preserve">  ✓  Zwarte cellen zijn automatische berekeningen — niet aanpassen</t>
  </si>
  <si>
    <t xml:space="preserve">  ✓  Exporteer vanuit Exact/Twinfield/Moneybird naar Excel en plak de waarden hier</t>
  </si>
  <si>
    <t xml:space="preserve">  !  Minimaal 3 maanden data vereist voor prognose</t>
  </si>
  <si>
    <t xml:space="preserve">  !  Budget-kolom is optioneel maar sterk aanbevolen voor afwijkingsanalyse</t>
  </si>
  <si>
    <t xml:space="preserve">  ✗  Gebruik geen formules in blauwe invoercellen — alleen getallen</t>
  </si>
  <si>
    <t xml:space="preserve">📊 FinFlowApp — Maanddata</t>
  </si>
  <si>
    <t xml:space="preserve">Vul de blauwe cellen in met jouw financiële gegevens. Zwarte cellen worden automatisch berekend.</t>
  </si>
  <si>
    <t xml:space="preserve">Maand</t>
  </si>
  <si>
    <t xml:space="preserve">Omzet (€)</t>
  </si>
  <si>
    <t xml:space="preserve">Budget (€)</t>
  </si>
  <si>
    <t xml:space="preserve">Kosten (€)</t>
  </si>
  <si>
    <t xml:space="preserve">Cashflow (€)</t>
  </si>
  <si>
    <t xml:space="preserve">Bruto marge (€)</t>
  </si>
  <si>
    <t xml:space="preserve">Marge %</t>
  </si>
  <si>
    <t xml:space="preserve">Budget realisatie</t>
  </si>
  <si>
    <t xml:space="preserve">EBITDA (€)</t>
  </si>
  <si>
    <t xml:space="preserve">Δ Omzet %</t>
  </si>
  <si>
    <t xml:space="preserve">← Invoer (blauw)</t>
  </si>
  <si>
    <t xml:space="preserve">← Auto berekend</t>
  </si>
  <si>
    <t xml:space="preserve">Jan</t>
  </si>
  <si>
    <t xml:space="preserve">-</t>
  </si>
  <si>
    <t xml:space="preserve">Feb</t>
  </si>
  <si>
    <t xml:space="preserve">Mrt</t>
  </si>
  <si>
    <t xml:space="preserve">Apr</t>
  </si>
  <si>
    <t xml:space="preserve">Mei</t>
  </si>
  <si>
    <t xml:space="preserve">Jun</t>
  </si>
  <si>
    <t xml:space="preserve">Jul</t>
  </si>
  <si>
    <t xml:space="preserve">Aug</t>
  </si>
  <si>
    <t xml:space="preserve">Sep</t>
  </si>
  <si>
    <t xml:space="preserve">Okt</t>
  </si>
  <si>
    <t xml:space="preserve">Nov</t>
  </si>
  <si>
    <t xml:space="preserve">Dec</t>
  </si>
  <si>
    <t xml:space="preserve">TOTAAL / GEM.</t>
  </si>
  <si>
    <t xml:space="preserve">🏷️ FinFlowApp — Kostenverdeling</t>
  </si>
  <si>
    <t xml:space="preserve">Vul de kosten per categorie in voor de meest recente periode (maand of kwartaal)</t>
  </si>
  <si>
    <t xml:space="preserve">Categorie</t>
  </si>
  <si>
    <t xml:space="preserve">Bedrag (€)</t>
  </si>
  <si>
    <t xml:space="preserve">% van Totaal</t>
  </si>
  <si>
    <t xml:space="preserve">Toelichting</t>
  </si>
  <si>
    <t xml:space="preserve">Personeelskosten</t>
  </si>
  <si>
    <t xml:space="preserve">Salarissen, sociale lasten, pensioen</t>
  </si>
  <si>
    <t xml:space="preserve">Inkoopkosten / COGS</t>
  </si>
  <si>
    <t xml:space="preserve">Materiaal, inkoop goederen/diensten</t>
  </si>
  <si>
    <t xml:space="preserve">Huisvesting</t>
  </si>
  <si>
    <t xml:space="preserve">Huur, energie, schoonmaak, beveiliging</t>
  </si>
  <si>
    <t xml:space="preserve">Marketing &amp; Sales</t>
  </si>
  <si>
    <t xml:space="preserve">Advertenties, events, CRM, sales tools</t>
  </si>
  <si>
    <t xml:space="preserve">ICT &amp; Software</t>
  </si>
  <si>
    <t xml:space="preserve">Licenties, hosting, hardware</t>
  </si>
  <si>
    <t xml:space="preserve">Financiële kosten</t>
  </si>
  <si>
    <t xml:space="preserve">Accountant, advies, bank, verzekering</t>
  </si>
  <si>
    <t xml:space="preserve">Afschrijvingen</t>
  </si>
  <si>
    <t xml:space="preserve">Inventaris, machines, immaterieel</t>
  </si>
  <si>
    <t xml:space="preserve">Overige kosten</t>
  </si>
  <si>
    <t xml:space="preserve">Overige operationele kosten</t>
  </si>
  <si>
    <t xml:space="preserve">TOTAAL</t>
  </si>
  <si>
    <t xml:space="preserve">100%</t>
  </si>
  <si>
    <t xml:space="preserve">⚙️ FinFlowApp — Instellingen</t>
  </si>
  <si>
    <t xml:space="preserve">Bedrijfsnaam</t>
  </si>
  <si>
    <t xml:space="preserve">Bakker &amp; Zonen B.V.</t>
  </si>
  <si>
    <t xml:space="preserve">KvK-nummer</t>
  </si>
  <si>
    <t xml:space="preserve">12345678</t>
  </si>
  <si>
    <t xml:space="preserve">Sector</t>
  </si>
  <si>
    <t xml:space="preserve">Groothandel</t>
  </si>
  <si>
    <t xml:space="preserve">Rapportageperiode</t>
  </si>
  <si>
    <t xml:space="preserve">Maandelijks</t>
  </si>
  <si>
    <t xml:space="preserve">Boekjaar start</t>
  </si>
  <si>
    <t xml:space="preserve">Januari</t>
  </si>
  <si>
    <t xml:space="preserve">Valuta</t>
  </si>
  <si>
    <t xml:space="preserve">Euro (€)</t>
  </si>
  <si>
    <t xml:space="preserve">BTW-regime</t>
  </si>
  <si>
    <t xml:space="preserve">21%</t>
  </si>
  <si>
    <t xml:space="preserve">Contactpersoon</t>
  </si>
  <si>
    <t xml:space="preserve">Jan de Vries</t>
  </si>
  <si>
    <t xml:space="preserve">E-mail</t>
  </si>
  <si>
    <t xml:space="preserve">jan@bakkerenzonenb.nl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</si>
</sst>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€#,##0;&quot;(€&quot;#,##0\);\-"/>
    <numFmt numFmtId="166" formatCode="0.0%;\-0.0%;\-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sz val="11"/>
      <color rgb="FF8892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8892AA"/>
      <name val="Arial"/>
      <family val="0"/>
      <charset val="1"/>
    </font>
    <font>
      <b val="true"/>
      <sz val="9"/>
      <color rgb="FF34D399"/>
      <name val="Arial"/>
      <family val="0"/>
      <charset val="1"/>
    </font>
    <font>
      <sz val="9"/>
      <color rgb="FF8892A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34D399"/>
      <name val="Arial"/>
      <family val="0"/>
      <charset val="1"/>
    </font>
    <font>
      <sz val="9"/>
      <color rgb="FFFBBF24"/>
      <name val="Arial"/>
      <family val="0"/>
      <charset val="1"/>
    </font>
    <font>
      <sz val="9"/>
      <color rgb="FFF8717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8"/>
      <color rgb="FF4A5368"/>
      <name val="Arial"/>
      <family val="0"/>
      <charset val="1"/>
    </font>
    <font>
      <b val="true"/>
      <sz val="10"/>
      <color rgb="FFE2E8F8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4A5368"/>
      <name val="Arial"/>
      <family val="0"/>
      <charset val="1"/>
    </font>
    <font>
      <b val="true"/>
      <sz val="10"/>
      <color rgb="FF4F8EF7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0"/>
      <color rgb="FF4A5368"/>
      <name val="Arial"/>
      <family val="0"/>
      <charset val="1"/>
    </font>
    <font>
      <i val="true"/>
      <sz val="9"/>
      <color rgb="FF8892AA"/>
      <name val="Arial"/>
      <family val="0"/>
      <charset val="1"/>
    </font>
    <font>
      <b val="true"/>
      <sz val="10"/>
      <color rgb="FF34D399"/>
      <name val="Arial"/>
      <family val="0"/>
      <charset val="1"/>
    </font>
    <font>
      <b val="true"/>
      <sz val="10"/>
      <color rgb="FF8892AA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4F8EF7"/>
        <bgColor rgb="FF0EA5E9"/>
      </patternFill>
    </fill>
    <fill>
      <patternFill patternType="solid">
        <fgColor rgb="FF1A1F2E"/>
        <bgColor rgb="FF0F1318"/>
      </patternFill>
    </fill>
    <fill>
      <patternFill patternType="solid">
        <fgColor rgb="FF0F1318"/>
        <bgColor rgb="FF1A1F2E"/>
      </patternFill>
    </fill>
    <fill>
      <patternFill patternType="solid">
        <fgColor rgb="FF34D399"/>
        <bgColor rgb="FF339966"/>
      </patternFill>
    </fill>
    <fill>
      <patternFill patternType="solid">
        <fgColor rgb="FFA78BFA"/>
        <bgColor rgb="FFCC99FF"/>
      </patternFill>
    </fill>
    <fill>
      <patternFill patternType="solid">
        <fgColor rgb="FFFBBF24"/>
        <bgColor rgb="FFFF9900"/>
      </patternFill>
    </fill>
    <fill>
      <patternFill patternType="solid">
        <fgColor rgb="FF0EA5E9"/>
        <bgColor rgb="FF4F8EF7"/>
      </patternFill>
    </fill>
    <fill>
      <patternFill patternType="solid">
        <fgColor rgb="FFEBF3FF"/>
        <bgColor rgb="FFF0FFF8"/>
      </patternFill>
    </fill>
    <fill>
      <patternFill patternType="solid">
        <fgColor rgb="FFF0FFF8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1A1F2E"/>
      </left>
      <right style="thin">
        <color rgb="FF1A1F2E"/>
      </right>
      <top style="thin">
        <color rgb="FF1A1F2E"/>
      </top>
      <bottom style="thin">
        <color rgb="FF1A1F2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top" textRotation="0" wrapText="false" indent="1" shrinkToFit="false"/>
      <protection locked="true" hidden="false"/>
    </xf>
    <xf numFmtId="164" fontId="9" fillId="4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2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1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A78BFA"/>
      <rgbColor rgb="FF993366"/>
      <rgbColor rgb="FFF0FFF8"/>
      <rgbColor rgb="FFEBF3FF"/>
      <rgbColor rgb="FF660066"/>
      <rgbColor rgb="FFF87171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EA5E9"/>
      <rgbColor rgb="FFE2E8F8"/>
      <rgbColor rgb="FFCCFFCC"/>
      <rgbColor rgb="FFFFFF99"/>
      <rgbColor rgb="FF99CCFF"/>
      <rgbColor rgb="FFFF99CC"/>
      <rgbColor rgb="FFCC99FF"/>
      <rgbColor rgb="FFFFCC99"/>
      <rgbColor rgb="FF4F8EF7"/>
      <rgbColor rgb="FF34D399"/>
      <rgbColor rgb="FF99CC00"/>
      <rgbColor rgb="FFFBBF24"/>
      <rgbColor rgb="FFFF9900"/>
      <rgbColor rgb="FFFF6600"/>
      <rgbColor rgb="FF4A5368"/>
      <rgbColor rgb="FF8892AA"/>
      <rgbColor rgb="FF003366"/>
      <rgbColor rgb="FF339966"/>
      <rgbColor rgb="FF0F1318"/>
      <rgbColor rgb="FF333300"/>
      <rgbColor rgb="FF993300"/>
      <rgbColor rgb="FF993366"/>
      <rgbColor rgb="FF333399"/>
      <rgbColor rgb="FF1A1F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0"/>
  </cols>
  <sheetData>
    <row r="1" customFormat="false" ht="39.75" hidden="false" customHeight="true" outlineLevel="0" collapsed="false">
      <c r="B1" s="1" t="s">
        <v>0</v>
      </c>
      <c r="C1" s="1"/>
    </row>
    <row r="2" customFormat="false" ht="24" hidden="false" customHeight="true" outlineLevel="0" collapsed="false">
      <c r="B2" s="2" t="s">
        <v>1</v>
      </c>
      <c r="C2" s="2"/>
    </row>
    <row r="3" customFormat="false" ht="12" hidden="false" customHeight="true" outlineLevel="0" collapsed="false"/>
    <row r="4" customFormat="false" ht="15.75" hidden="false" customHeight="true" outlineLevel="0" collapsed="false">
      <c r="B4" s="3" t="s">
        <v>2</v>
      </c>
      <c r="C4" s="3"/>
    </row>
    <row r="5" customFormat="false" ht="13.5" hidden="false" customHeight="true" outlineLevel="0" collapsed="false">
      <c r="B5" s="4" t="s">
        <v>3</v>
      </c>
      <c r="C5" s="5" t="s">
        <v>4</v>
      </c>
    </row>
    <row r="6" customFormat="false" ht="27.75" hidden="false" customHeight="true" outlineLevel="0" collapsed="false">
      <c r="B6" s="6" t="s">
        <v>5</v>
      </c>
      <c r="C6" s="7" t="s">
        <v>6</v>
      </c>
    </row>
    <row r="7" customFormat="false" ht="7.5" hidden="false" customHeight="true" outlineLevel="0" collapsed="false"/>
    <row r="8" customFormat="false" ht="15.75" hidden="false" customHeight="true" outlineLevel="0" collapsed="false">
      <c r="B8" s="8" t="s">
        <v>7</v>
      </c>
      <c r="C8" s="8"/>
    </row>
    <row r="9" customFormat="false" ht="13.5" hidden="false" customHeight="true" outlineLevel="0" collapsed="false">
      <c r="B9" s="4" t="s">
        <v>3</v>
      </c>
      <c r="C9" s="9" t="s">
        <v>8</v>
      </c>
    </row>
    <row r="10" customFormat="false" ht="27.75" hidden="false" customHeight="true" outlineLevel="0" collapsed="false">
      <c r="B10" s="6" t="s">
        <v>5</v>
      </c>
      <c r="C10" s="7" t="s">
        <v>9</v>
      </c>
    </row>
    <row r="11" customFormat="false" ht="7.5" hidden="false" customHeight="true" outlineLevel="0" collapsed="false"/>
    <row r="12" customFormat="false" ht="15.75" hidden="false" customHeight="true" outlineLevel="0" collapsed="false">
      <c r="B12" s="10" t="s">
        <v>10</v>
      </c>
      <c r="C12" s="10"/>
    </row>
    <row r="13" customFormat="false" ht="13.5" hidden="false" customHeight="true" outlineLevel="0" collapsed="false">
      <c r="B13" s="4" t="s">
        <v>3</v>
      </c>
      <c r="C13" s="9" t="s">
        <v>11</v>
      </c>
    </row>
    <row r="14" customFormat="false" ht="27.75" hidden="false" customHeight="true" outlineLevel="0" collapsed="false">
      <c r="B14" s="6" t="s">
        <v>5</v>
      </c>
      <c r="C14" s="7" t="s">
        <v>12</v>
      </c>
    </row>
    <row r="15" customFormat="false" ht="7.5" hidden="false" customHeight="true" outlineLevel="0" collapsed="false"/>
    <row r="16" customFormat="false" ht="19.5" hidden="false" customHeight="true" outlineLevel="0" collapsed="false">
      <c r="B16" s="11" t="s">
        <v>13</v>
      </c>
      <c r="C16" s="11"/>
    </row>
    <row r="17" customFormat="false" ht="15.75" hidden="false" customHeight="true" outlineLevel="0" collapsed="false">
      <c r="B17" s="12" t="s">
        <v>14</v>
      </c>
      <c r="C17" s="12"/>
    </row>
    <row r="18" customFormat="false" ht="15.75" hidden="false" customHeight="true" outlineLevel="0" collapsed="false">
      <c r="B18" s="12" t="s">
        <v>15</v>
      </c>
      <c r="C18" s="12"/>
    </row>
    <row r="19" customFormat="false" ht="15.75" hidden="false" customHeight="true" outlineLevel="0" collapsed="false">
      <c r="B19" s="12" t="s">
        <v>16</v>
      </c>
      <c r="C19" s="12"/>
    </row>
    <row r="20" customFormat="false" ht="15.75" hidden="false" customHeight="true" outlineLevel="0" collapsed="false">
      <c r="B20" s="12" t="s">
        <v>17</v>
      </c>
      <c r="C20" s="12"/>
    </row>
    <row r="21" customFormat="false" ht="15.75" hidden="false" customHeight="true" outlineLevel="0" collapsed="false">
      <c r="B21" s="12" t="s">
        <v>18</v>
      </c>
      <c r="C21" s="12"/>
    </row>
    <row r="22" customFormat="false" ht="15.75" hidden="false" customHeight="true" outlineLevel="0" collapsed="false">
      <c r="B22" s="13" t="s">
        <v>19</v>
      </c>
      <c r="C22" s="13"/>
    </row>
    <row r="23" customFormat="false" ht="15.75" hidden="false" customHeight="true" outlineLevel="0" collapsed="false">
      <c r="B23" s="13" t="s">
        <v>20</v>
      </c>
      <c r="C23" s="13"/>
    </row>
    <row r="24" customFormat="false" ht="15.75" hidden="false" customHeight="true" outlineLevel="0" collapsed="false">
      <c r="B24" s="14" t="s">
        <v>21</v>
      </c>
      <c r="C24" s="14"/>
    </row>
  </sheetData>
  <mergeCells count="14">
    <mergeCell ref="B1:C1"/>
    <mergeCell ref="B2:C2"/>
    <mergeCell ref="B4:C4"/>
    <mergeCell ref="B8:C8"/>
    <mergeCell ref="B12:C12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10" min="2" style="0" width="14"/>
  </cols>
  <sheetData>
    <row r="1" customFormat="false" ht="36" hidden="false" customHeight="true" outlineLevel="0" collapsed="false">
      <c r="A1" s="15" t="s">
        <v>22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18" hidden="false" customHeight="true" outlineLevel="0" collapsed="false">
      <c r="A2" s="16" t="s">
        <v>23</v>
      </c>
      <c r="B2" s="16"/>
      <c r="C2" s="16"/>
      <c r="D2" s="16"/>
      <c r="E2" s="16"/>
      <c r="F2" s="16"/>
      <c r="G2" s="16"/>
      <c r="H2" s="16"/>
      <c r="I2" s="16"/>
      <c r="J2" s="16"/>
    </row>
    <row r="3" customFormat="false" ht="7.5" hidden="false" customHeight="true" outlineLevel="0" collapsed="false"/>
    <row r="4" customFormat="false" ht="27.75" hidden="false" customHeight="true" outlineLevel="0" collapsed="false">
      <c r="A4" s="17" t="s">
        <v>24</v>
      </c>
      <c r="B4" s="18" t="s">
        <v>25</v>
      </c>
      <c r="C4" s="19" t="s">
        <v>26</v>
      </c>
      <c r="D4" s="20" t="s">
        <v>27</v>
      </c>
      <c r="E4" s="21" t="s">
        <v>28</v>
      </c>
      <c r="F4" s="17" t="s">
        <v>29</v>
      </c>
      <c r="G4" s="17" t="s">
        <v>30</v>
      </c>
      <c r="H4" s="17" t="s">
        <v>31</v>
      </c>
      <c r="I4" s="17" t="s">
        <v>32</v>
      </c>
      <c r="J4" s="17" t="s">
        <v>33</v>
      </c>
    </row>
    <row r="5" customFormat="false" ht="15.75" hidden="false" customHeight="true" outlineLevel="0" collapsed="false">
      <c r="A5" s="22"/>
      <c r="B5" s="22" t="s">
        <v>34</v>
      </c>
      <c r="C5" s="22" t="s">
        <v>34</v>
      </c>
      <c r="D5" s="22" t="s">
        <v>34</v>
      </c>
      <c r="E5" s="22" t="s">
        <v>34</v>
      </c>
      <c r="F5" s="22" t="s">
        <v>35</v>
      </c>
      <c r="G5" s="22" t="s">
        <v>35</v>
      </c>
      <c r="H5" s="22" t="s">
        <v>35</v>
      </c>
      <c r="I5" s="22" t="s">
        <v>35</v>
      </c>
      <c r="J5" s="22" t="s">
        <v>35</v>
      </c>
    </row>
    <row r="6" customFormat="false" ht="19.5" hidden="false" customHeight="true" outlineLevel="0" collapsed="false">
      <c r="A6" s="23" t="s">
        <v>36</v>
      </c>
      <c r="B6" s="24" t="n">
        <v>84200</v>
      </c>
      <c r="C6" s="24" t="n">
        <v>90000</v>
      </c>
      <c r="D6" s="24" t="n">
        <v>61300</v>
      </c>
      <c r="E6" s="24" t="n">
        <v>18200</v>
      </c>
      <c r="F6" s="25" t="n">
        <f aca="false">IF(B6=0,"-",B6-D6)</f>
        <v>22900</v>
      </c>
      <c r="G6" s="26" t="n">
        <f aca="false">IF(B6=0,"-",(B6-D6)/B6)</f>
        <v>0.271971496437055</v>
      </c>
      <c r="H6" s="26" t="n">
        <f aca="false">IF(OR(B6=0,C6=0),"-",B6/C6)</f>
        <v>0.935555555555556</v>
      </c>
      <c r="I6" s="25" t="n">
        <f aca="false">IF(B6=0,"-",(B6-D6)*0.85)</f>
        <v>19465</v>
      </c>
      <c r="J6" s="27" t="s">
        <v>37</v>
      </c>
    </row>
    <row r="7" customFormat="false" ht="19.5" hidden="false" customHeight="true" outlineLevel="0" collapsed="false">
      <c r="A7" s="23" t="s">
        <v>38</v>
      </c>
      <c r="B7" s="24" t="n">
        <v>79400</v>
      </c>
      <c r="C7" s="24" t="n">
        <v>85000</v>
      </c>
      <c r="D7" s="24" t="n">
        <v>58200</v>
      </c>
      <c r="E7" s="24" t="n">
        <v>16800</v>
      </c>
      <c r="F7" s="25" t="n">
        <f aca="false">IF(B7=0,"-",B7-D7)</f>
        <v>21200</v>
      </c>
      <c r="G7" s="26" t="n">
        <f aca="false">IF(B7=0,"-",(B7-D7)/B7)</f>
        <v>0.267002518891688</v>
      </c>
      <c r="H7" s="26" t="n">
        <f aca="false">IF(OR(B7=0,C7=0),"-",B7/C7)</f>
        <v>0.934117647058824</v>
      </c>
      <c r="I7" s="25" t="n">
        <f aca="false">IF(B7=0,"-",(B7-D7)*0.85)</f>
        <v>18020</v>
      </c>
      <c r="J7" s="26" t="n">
        <f aca="false">IF(OR(B7=0,B6=0),"-",(B7-B6)/B6)</f>
        <v>-0.0570071258907363</v>
      </c>
    </row>
    <row r="8" customFormat="false" ht="19.5" hidden="false" customHeight="true" outlineLevel="0" collapsed="false">
      <c r="A8" s="23" t="s">
        <v>39</v>
      </c>
      <c r="B8" s="24" t="n">
        <v>91800</v>
      </c>
      <c r="C8" s="24" t="n">
        <v>88000</v>
      </c>
      <c r="D8" s="24" t="n">
        <v>63100</v>
      </c>
      <c r="E8" s="24" t="n">
        <v>22400</v>
      </c>
      <c r="F8" s="25" t="n">
        <f aca="false">IF(B8=0,"-",B8-D8)</f>
        <v>28700</v>
      </c>
      <c r="G8" s="26" t="n">
        <f aca="false">IF(B8=0,"-",(B8-D8)/B8)</f>
        <v>0.312636165577342</v>
      </c>
      <c r="H8" s="26" t="n">
        <f aca="false">IF(OR(B8=0,C8=0),"-",B8/C8)</f>
        <v>1.04318181818182</v>
      </c>
      <c r="I8" s="25" t="n">
        <f aca="false">IF(B8=0,"-",(B8-D8)*0.85)</f>
        <v>24395</v>
      </c>
      <c r="J8" s="26" t="n">
        <f aca="false">IF(OR(B8=0,B7=0),"-",(B8-B7)/B7)</f>
        <v>0.156171284634761</v>
      </c>
    </row>
    <row r="9" customFormat="false" ht="19.5" hidden="false" customHeight="true" outlineLevel="0" collapsed="false">
      <c r="A9" s="23" t="s">
        <v>40</v>
      </c>
      <c r="B9" s="24" t="n">
        <v>97300</v>
      </c>
      <c r="C9" s="24" t="n">
        <v>95000</v>
      </c>
      <c r="D9" s="24" t="n">
        <v>67400</v>
      </c>
      <c r="E9" s="24" t="n">
        <v>23600</v>
      </c>
      <c r="F9" s="25" t="n">
        <f aca="false">IF(B9=0,"-",B9-D9)</f>
        <v>29900</v>
      </c>
      <c r="G9" s="26" t="n">
        <f aca="false">IF(B9=0,"-",(B9-D9)/B9)</f>
        <v>0.307297019527235</v>
      </c>
      <c r="H9" s="26" t="n">
        <f aca="false">IF(OR(B9=0,C9=0),"-",B9/C9)</f>
        <v>1.02421052631579</v>
      </c>
      <c r="I9" s="25" t="n">
        <f aca="false">IF(B9=0,"-",(B9-D9)*0.85)</f>
        <v>25415</v>
      </c>
      <c r="J9" s="26" t="n">
        <f aca="false">IF(OR(B9=0,B8=0),"-",(B9-B8)/B8)</f>
        <v>0.0599128540305011</v>
      </c>
    </row>
    <row r="10" customFormat="false" ht="19.5" hidden="false" customHeight="true" outlineLevel="0" collapsed="false">
      <c r="A10" s="23" t="s">
        <v>41</v>
      </c>
      <c r="B10" s="24" t="n">
        <v>103600</v>
      </c>
      <c r="C10" s="24" t="n">
        <v>100000</v>
      </c>
      <c r="D10" s="24" t="n">
        <v>71200</v>
      </c>
      <c r="E10" s="24" t="n">
        <v>26800</v>
      </c>
      <c r="F10" s="25" t="n">
        <f aca="false">IF(B10=0,"-",B10-D10)</f>
        <v>32400</v>
      </c>
      <c r="G10" s="26" t="n">
        <f aca="false">IF(B10=0,"-",(B10-D10)/B10)</f>
        <v>0.312741312741313</v>
      </c>
      <c r="H10" s="26" t="n">
        <f aca="false">IF(OR(B10=0,C10=0),"-",B10/C10)</f>
        <v>1.036</v>
      </c>
      <c r="I10" s="25" t="n">
        <f aca="false">IF(B10=0,"-",(B10-D10)*0.85)</f>
        <v>27540</v>
      </c>
      <c r="J10" s="26" t="n">
        <f aca="false">IF(OR(B10=0,B9=0),"-",(B10-B9)/B9)</f>
        <v>0.0647482014388489</v>
      </c>
    </row>
    <row r="11" customFormat="false" ht="19.5" hidden="false" customHeight="true" outlineLevel="0" collapsed="false">
      <c r="A11" s="23" t="s">
        <v>42</v>
      </c>
      <c r="B11" s="24" t="n">
        <v>118400</v>
      </c>
      <c r="C11" s="24" t="n">
        <v>110000</v>
      </c>
      <c r="D11" s="24" t="n">
        <v>79800</v>
      </c>
      <c r="E11" s="24" t="n">
        <v>31200</v>
      </c>
      <c r="F11" s="25" t="n">
        <f aca="false">IF(B11=0,"-",B11-D11)</f>
        <v>38600</v>
      </c>
      <c r="G11" s="26" t="n">
        <f aca="false">IF(B11=0,"-",(B11-D11)/B11)</f>
        <v>0.326013513513514</v>
      </c>
      <c r="H11" s="26" t="n">
        <f aca="false">IF(OR(B11=0,C11=0),"-",B11/C11)</f>
        <v>1.07636363636364</v>
      </c>
      <c r="I11" s="25" t="n">
        <f aca="false">IF(B11=0,"-",(B11-D11)*0.85)</f>
        <v>32810</v>
      </c>
      <c r="J11" s="26" t="n">
        <f aca="false">IF(OR(B11=0,B10=0),"-",(B11-B10)/B10)</f>
        <v>0.142857142857143</v>
      </c>
    </row>
    <row r="12" customFormat="false" ht="19.5" hidden="false" customHeight="true" outlineLevel="0" collapsed="false">
      <c r="A12" s="23" t="s">
        <v>43</v>
      </c>
      <c r="B12" s="24" t="n">
        <v>94100</v>
      </c>
      <c r="C12" s="24" t="n">
        <v>95000</v>
      </c>
      <c r="D12" s="24" t="n">
        <v>68300</v>
      </c>
      <c r="E12" s="24" t="n">
        <v>20400</v>
      </c>
      <c r="F12" s="25" t="n">
        <f aca="false">IF(B12=0,"-",B12-D12)</f>
        <v>25800</v>
      </c>
      <c r="G12" s="26" t="n">
        <f aca="false">IF(B12=0,"-",(B12-D12)/B12)</f>
        <v>0.274176408076514</v>
      </c>
      <c r="H12" s="26" t="n">
        <f aca="false">IF(OR(B12=0,C12=0),"-",B12/C12)</f>
        <v>0.990526315789474</v>
      </c>
      <c r="I12" s="25" t="n">
        <f aca="false">IF(B12=0,"-",(B12-D12)*0.85)</f>
        <v>21930</v>
      </c>
      <c r="J12" s="26" t="n">
        <f aca="false">IF(OR(B12=0,B11=0),"-",(B12-B11)/B11)</f>
        <v>-0.205236486486486</v>
      </c>
    </row>
    <row r="13" customFormat="false" ht="19.5" hidden="false" customHeight="true" outlineLevel="0" collapsed="false">
      <c r="A13" s="23" t="s">
        <v>44</v>
      </c>
      <c r="B13" s="24" t="n">
        <v>88700</v>
      </c>
      <c r="C13" s="24" t="n">
        <v>90000</v>
      </c>
      <c r="D13" s="24" t="n">
        <v>64900</v>
      </c>
      <c r="E13" s="24" t="n">
        <v>19200</v>
      </c>
      <c r="F13" s="25" t="n">
        <f aca="false">IF(B13=0,"-",B13-D13)</f>
        <v>23800</v>
      </c>
      <c r="G13" s="26" t="n">
        <f aca="false">IF(B13=0,"-",(B13-D13)/B13)</f>
        <v>0.268320180383315</v>
      </c>
      <c r="H13" s="26" t="n">
        <f aca="false">IF(OR(B13=0,C13=0),"-",B13/C13)</f>
        <v>0.985555555555556</v>
      </c>
      <c r="I13" s="25" t="n">
        <f aca="false">IF(B13=0,"-",(B13-D13)*0.85)</f>
        <v>20230</v>
      </c>
      <c r="J13" s="26" t="n">
        <f aca="false">IF(OR(B13=0,B12=0),"-",(B13-B12)/B12)</f>
        <v>-0.0573857598299681</v>
      </c>
    </row>
    <row r="14" customFormat="false" ht="19.5" hidden="false" customHeight="true" outlineLevel="0" collapsed="false">
      <c r="A14" s="23" t="s">
        <v>45</v>
      </c>
      <c r="B14" s="24" t="n">
        <v>105200</v>
      </c>
      <c r="C14" s="24" t="n">
        <v>105000</v>
      </c>
      <c r="D14" s="24" t="n">
        <v>72100</v>
      </c>
      <c r="E14" s="24" t="n">
        <v>27600</v>
      </c>
      <c r="F14" s="25" t="n">
        <f aca="false">IF(B14=0,"-",B14-D14)</f>
        <v>33100</v>
      </c>
      <c r="G14" s="26" t="n">
        <f aca="false">IF(B14=0,"-",(B14-D14)/B14)</f>
        <v>0.314638783269962</v>
      </c>
      <c r="H14" s="26" t="n">
        <f aca="false">IF(OR(B14=0,C14=0),"-",B14/C14)</f>
        <v>1.00190476190476</v>
      </c>
      <c r="I14" s="25" t="n">
        <f aca="false">IF(B14=0,"-",(B14-D14)*0.85)</f>
        <v>28135</v>
      </c>
      <c r="J14" s="26" t="n">
        <f aca="false">IF(OR(B14=0,B13=0),"-",(B14-B13)/B13)</f>
        <v>0.186020293122886</v>
      </c>
    </row>
    <row r="15" customFormat="false" ht="19.5" hidden="false" customHeight="true" outlineLevel="0" collapsed="false">
      <c r="A15" s="23" t="s">
        <v>46</v>
      </c>
      <c r="B15" s="24" t="n">
        <v>112800</v>
      </c>
      <c r="C15" s="24" t="n">
        <v>110000</v>
      </c>
      <c r="D15" s="24" t="n">
        <v>76400</v>
      </c>
      <c r="E15" s="24" t="n">
        <v>30800</v>
      </c>
      <c r="F15" s="25" t="n">
        <f aca="false">IF(B15=0,"-",B15-D15)</f>
        <v>36400</v>
      </c>
      <c r="G15" s="26" t="n">
        <f aca="false">IF(B15=0,"-",(B15-D15)/B15)</f>
        <v>0.322695035460993</v>
      </c>
      <c r="H15" s="26" t="n">
        <f aca="false">IF(OR(B15=0,C15=0),"-",B15/C15)</f>
        <v>1.02545454545455</v>
      </c>
      <c r="I15" s="25" t="n">
        <f aca="false">IF(B15=0,"-",(B15-D15)*0.85)</f>
        <v>30940</v>
      </c>
      <c r="J15" s="26" t="n">
        <f aca="false">IF(OR(B15=0,B14=0),"-",(B15-B14)/B14)</f>
        <v>0.0722433460076046</v>
      </c>
    </row>
    <row r="16" customFormat="false" ht="19.5" hidden="false" customHeight="true" outlineLevel="0" collapsed="false">
      <c r="A16" s="23" t="s">
        <v>47</v>
      </c>
      <c r="B16" s="24" t="n">
        <v>119600</v>
      </c>
      <c r="C16" s="24" t="n">
        <v>115000</v>
      </c>
      <c r="D16" s="24" t="n">
        <v>80200</v>
      </c>
      <c r="E16" s="24" t="n">
        <v>33200</v>
      </c>
      <c r="F16" s="25" t="n">
        <f aca="false">IF(B16=0,"-",B16-D16)</f>
        <v>39400</v>
      </c>
      <c r="G16" s="26" t="n">
        <f aca="false">IF(B16=0,"-",(B16-D16)/B16)</f>
        <v>0.32943143812709</v>
      </c>
      <c r="H16" s="26" t="n">
        <f aca="false">IF(OR(B16=0,C16=0),"-",B16/C16)</f>
        <v>1.04</v>
      </c>
      <c r="I16" s="25" t="n">
        <f aca="false">IF(B16=0,"-",(B16-D16)*0.85)</f>
        <v>33490</v>
      </c>
      <c r="J16" s="26" t="n">
        <f aca="false">IF(OR(B16=0,B15=0),"-",(B16-B15)/B15)</f>
        <v>0.0602836879432624</v>
      </c>
    </row>
    <row r="17" customFormat="false" ht="19.5" hidden="false" customHeight="true" outlineLevel="0" collapsed="false">
      <c r="A17" s="23" t="s">
        <v>48</v>
      </c>
      <c r="B17" s="24"/>
      <c r="C17" s="24" t="n">
        <v>120000</v>
      </c>
      <c r="D17" s="24"/>
      <c r="E17" s="24"/>
      <c r="F17" s="25" t="str">
        <f aca="false">IF(B17=0,"-",B17-D17)</f>
        <v>-</v>
      </c>
      <c r="G17" s="26" t="str">
        <f aca="false">IF(B17=0,"-",(B17-D17)/B17)</f>
        <v>-</v>
      </c>
      <c r="H17" s="26" t="str">
        <f aca="false">IF(OR(B17=0,C17=0),"-",B17/C17)</f>
        <v>-</v>
      </c>
      <c r="I17" s="25" t="str">
        <f aca="false">IF(B17=0,"-",(B17-D17)*0.85)</f>
        <v>-</v>
      </c>
      <c r="J17" s="26" t="str">
        <f aca="false">IF(OR(B17=0,B16=0),"-",(B17-B16)/B16)</f>
        <v>-</v>
      </c>
    </row>
    <row r="18" customFormat="false" ht="24" hidden="false" customHeight="true" outlineLevel="0" collapsed="false">
      <c r="A18" s="28" t="s">
        <v>49</v>
      </c>
      <c r="B18" s="29" t="n">
        <f aca="false">SUM(B6:B17)</f>
        <v>1095100</v>
      </c>
      <c r="C18" s="29" t="n">
        <f aca="false">SUM(C6:C17)</f>
        <v>1203000</v>
      </c>
      <c r="D18" s="29" t="n">
        <f aca="false">SUM(D6:D17)</f>
        <v>762900</v>
      </c>
      <c r="E18" s="29" t="n">
        <f aca="false">SUM(E6:E17)</f>
        <v>270200</v>
      </c>
      <c r="F18" s="29" t="n">
        <f aca="false">SUM(F6:F17)</f>
        <v>332200</v>
      </c>
      <c r="G18" s="30" t="n">
        <f aca="false">IFERROR(AVERAGE(G6:G17),"-")</f>
        <v>0.300629442909638</v>
      </c>
      <c r="H18" s="30" t="n">
        <f aca="false">IFERROR(B18/C18,"-")</f>
        <v>0.910307564422278</v>
      </c>
      <c r="I18" s="29" t="n">
        <f aca="false">SUM(I6:I17)</f>
        <v>282370</v>
      </c>
      <c r="J18" s="30" t="n">
        <f aca="false">IFERROR((B17-B6)/B6,"-")</f>
        <v>-1</v>
      </c>
    </row>
    <row r="19" customFormat="false" ht="19.5" hidden="false" customHeight="true" outlineLevel="0" collapsed="false">
      <c r="A19" s="31" t="s">
        <v>36</v>
      </c>
      <c r="B19" s="24"/>
      <c r="C19" s="24"/>
      <c r="D19" s="24"/>
      <c r="E19" s="24"/>
      <c r="F19" s="32"/>
      <c r="G19" s="32"/>
      <c r="H19" s="32"/>
      <c r="I19" s="32"/>
      <c r="J19" s="32"/>
    </row>
    <row r="20" customFormat="false" ht="19.5" hidden="false" customHeight="true" outlineLevel="0" collapsed="false">
      <c r="A20" s="31" t="s">
        <v>38</v>
      </c>
      <c r="B20" s="24"/>
      <c r="C20" s="24"/>
      <c r="D20" s="24"/>
      <c r="E20" s="24"/>
      <c r="F20" s="32"/>
      <c r="G20" s="32"/>
      <c r="H20" s="32"/>
      <c r="I20" s="32"/>
      <c r="J20" s="32"/>
    </row>
    <row r="21" customFormat="false" ht="19.5" hidden="false" customHeight="true" outlineLevel="0" collapsed="false">
      <c r="A21" s="31" t="s">
        <v>39</v>
      </c>
      <c r="B21" s="24"/>
      <c r="C21" s="24"/>
      <c r="D21" s="24"/>
      <c r="E21" s="24"/>
      <c r="F21" s="32"/>
      <c r="G21" s="32"/>
      <c r="H21" s="32"/>
      <c r="I21" s="32"/>
      <c r="J21" s="32"/>
    </row>
    <row r="22" customFormat="false" ht="19.5" hidden="false" customHeight="true" outlineLevel="0" collapsed="false">
      <c r="A22" s="31" t="s">
        <v>40</v>
      </c>
      <c r="B22" s="24"/>
      <c r="C22" s="24"/>
      <c r="D22" s="24"/>
      <c r="E22" s="24"/>
      <c r="F22" s="32"/>
      <c r="G22" s="32"/>
      <c r="H22" s="32"/>
      <c r="I22" s="32"/>
      <c r="J22" s="32"/>
    </row>
    <row r="23" customFormat="false" ht="19.5" hidden="false" customHeight="true" outlineLevel="0" collapsed="false">
      <c r="A23" s="31" t="s">
        <v>41</v>
      </c>
      <c r="B23" s="24"/>
      <c r="C23" s="24"/>
      <c r="D23" s="24"/>
      <c r="E23" s="24"/>
      <c r="F23" s="32"/>
      <c r="G23" s="32"/>
      <c r="H23" s="32"/>
      <c r="I23" s="32"/>
      <c r="J23" s="32"/>
    </row>
    <row r="24" customFormat="false" ht="19.5" hidden="false" customHeight="true" outlineLevel="0" collapsed="false">
      <c r="A24" s="31" t="s">
        <v>42</v>
      </c>
      <c r="B24" s="24"/>
      <c r="C24" s="24"/>
      <c r="D24" s="24"/>
      <c r="E24" s="24"/>
      <c r="F24" s="32"/>
      <c r="G24" s="32"/>
      <c r="H24" s="32"/>
      <c r="I24" s="32"/>
      <c r="J24" s="32"/>
    </row>
    <row r="25" customFormat="false" ht="19.5" hidden="false" customHeight="true" outlineLevel="0" collapsed="false">
      <c r="A25" s="31" t="s">
        <v>43</v>
      </c>
      <c r="B25" s="24"/>
      <c r="C25" s="24"/>
      <c r="D25" s="24"/>
      <c r="E25" s="24"/>
      <c r="F25" s="32"/>
      <c r="G25" s="32"/>
      <c r="H25" s="32"/>
      <c r="I25" s="32"/>
      <c r="J25" s="32"/>
    </row>
    <row r="26" customFormat="false" ht="19.5" hidden="false" customHeight="true" outlineLevel="0" collapsed="false">
      <c r="A26" s="31" t="s">
        <v>44</v>
      </c>
      <c r="B26" s="24"/>
      <c r="C26" s="24"/>
      <c r="D26" s="24"/>
      <c r="E26" s="24"/>
      <c r="F26" s="32"/>
      <c r="G26" s="32"/>
      <c r="H26" s="32"/>
      <c r="I26" s="32"/>
      <c r="J26" s="32"/>
    </row>
    <row r="27" customFormat="false" ht="19.5" hidden="false" customHeight="true" outlineLevel="0" collapsed="false">
      <c r="A27" s="31" t="s">
        <v>45</v>
      </c>
      <c r="B27" s="24"/>
      <c r="C27" s="24"/>
      <c r="D27" s="24"/>
      <c r="E27" s="24"/>
      <c r="F27" s="32"/>
      <c r="G27" s="32"/>
      <c r="H27" s="32"/>
      <c r="I27" s="32"/>
      <c r="J27" s="32"/>
    </row>
    <row r="28" customFormat="false" ht="19.5" hidden="false" customHeight="true" outlineLevel="0" collapsed="false">
      <c r="A28" s="31" t="s">
        <v>46</v>
      </c>
      <c r="B28" s="24"/>
      <c r="C28" s="24"/>
      <c r="D28" s="24"/>
      <c r="E28" s="24"/>
      <c r="F28" s="32"/>
      <c r="G28" s="32"/>
      <c r="H28" s="32"/>
      <c r="I28" s="32"/>
      <c r="J28" s="32"/>
    </row>
    <row r="29" customFormat="false" ht="19.5" hidden="false" customHeight="true" outlineLevel="0" collapsed="false">
      <c r="A29" s="31" t="s">
        <v>47</v>
      </c>
      <c r="B29" s="24"/>
      <c r="C29" s="24"/>
      <c r="D29" s="24"/>
      <c r="E29" s="24"/>
      <c r="F29" s="32"/>
      <c r="G29" s="32"/>
      <c r="H29" s="32"/>
      <c r="I29" s="32"/>
      <c r="J29" s="32"/>
    </row>
    <row r="30" customFormat="false" ht="19.5" hidden="false" customHeight="true" outlineLevel="0" collapsed="false">
      <c r="A30" s="31" t="s">
        <v>48</v>
      </c>
      <c r="B30" s="24"/>
      <c r="C30" s="24"/>
      <c r="D30" s="24"/>
      <c r="E30" s="24"/>
      <c r="F30" s="32"/>
      <c r="G30" s="32"/>
      <c r="H30" s="32"/>
      <c r="I30" s="32"/>
      <c r="J30" s="32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4" min="3" style="0" width="16"/>
    <col collapsed="false" customWidth="true" hidden="false" outlineLevel="0" max="5" min="5" style="0" width="30"/>
  </cols>
  <sheetData>
    <row r="1" customFormat="false" ht="36" hidden="false" customHeight="true" outlineLevel="0" collapsed="false">
      <c r="A1" s="33" t="s">
        <v>50</v>
      </c>
      <c r="B1" s="33"/>
      <c r="C1" s="33"/>
      <c r="D1" s="33"/>
      <c r="E1" s="33"/>
    </row>
    <row r="2" customFormat="false" ht="18" hidden="false" customHeight="true" outlineLevel="0" collapsed="false">
      <c r="A2" s="16" t="s">
        <v>51</v>
      </c>
      <c r="B2" s="16"/>
      <c r="C2" s="16"/>
      <c r="D2" s="16"/>
      <c r="E2" s="16"/>
    </row>
    <row r="3" customFormat="false" ht="7.5" hidden="false" customHeight="true" outlineLevel="0" collapsed="false"/>
    <row r="4" customFormat="false" ht="24" hidden="false" customHeight="true" outlineLevel="0" collapsed="false">
      <c r="A4" s="34" t="s">
        <v>52</v>
      </c>
      <c r="B4" s="34" t="s">
        <v>53</v>
      </c>
      <c r="C4" s="34" t="s">
        <v>54</v>
      </c>
      <c r="D4" s="34" t="s">
        <v>26</v>
      </c>
      <c r="E4" s="34" t="s">
        <v>55</v>
      </c>
    </row>
    <row r="5" customFormat="false" ht="21.75" hidden="false" customHeight="true" outlineLevel="0" collapsed="false">
      <c r="A5" s="23" t="s">
        <v>56</v>
      </c>
      <c r="B5" s="24" t="n">
        <v>44200</v>
      </c>
      <c r="C5" s="26" t="n">
        <f aca="false">IFERROR(B5/SUM($B$5:$B$12),"-")</f>
        <v>0.533816425120773</v>
      </c>
      <c r="D5" s="24" t="n">
        <v>46000</v>
      </c>
      <c r="E5" s="35" t="s">
        <v>57</v>
      </c>
    </row>
    <row r="6" customFormat="false" ht="21.75" hidden="false" customHeight="true" outlineLevel="0" collapsed="false">
      <c r="A6" s="23" t="s">
        <v>58</v>
      </c>
      <c r="B6" s="24" t="n">
        <v>19300</v>
      </c>
      <c r="C6" s="26" t="n">
        <f aca="false">IFERROR(B6/SUM($B$5:$B$12),"-")</f>
        <v>0.233091787439614</v>
      </c>
      <c r="D6" s="24" t="n">
        <v>20000</v>
      </c>
      <c r="E6" s="35" t="s">
        <v>59</v>
      </c>
    </row>
    <row r="7" customFormat="false" ht="21.75" hidden="false" customHeight="true" outlineLevel="0" collapsed="false">
      <c r="A7" s="23" t="s">
        <v>60</v>
      </c>
      <c r="B7" s="24" t="n">
        <v>8100</v>
      </c>
      <c r="C7" s="26" t="n">
        <f aca="false">IFERROR(B7/SUM($B$5:$B$12),"-")</f>
        <v>0.0978260869565217</v>
      </c>
      <c r="D7" s="24" t="n">
        <v>8000</v>
      </c>
      <c r="E7" s="35" t="s">
        <v>61</v>
      </c>
    </row>
    <row r="8" customFormat="false" ht="21.75" hidden="false" customHeight="true" outlineLevel="0" collapsed="false">
      <c r="A8" s="23" t="s">
        <v>62</v>
      </c>
      <c r="B8" s="24" t="n">
        <v>4900</v>
      </c>
      <c r="C8" s="26" t="n">
        <f aca="false">IFERROR(B8/SUM($B$5:$B$12),"-")</f>
        <v>0.0591787439613527</v>
      </c>
      <c r="D8" s="24" t="n">
        <v>6000</v>
      </c>
      <c r="E8" s="35" t="s">
        <v>63</v>
      </c>
    </row>
    <row r="9" customFormat="false" ht="21.75" hidden="false" customHeight="true" outlineLevel="0" collapsed="false">
      <c r="A9" s="23" t="s">
        <v>64</v>
      </c>
      <c r="B9" s="24" t="n">
        <v>2800</v>
      </c>
      <c r="C9" s="26" t="n">
        <f aca="false">IFERROR(B9/SUM($B$5:$B$12),"-")</f>
        <v>0.0338164251207729</v>
      </c>
      <c r="D9" s="24" t="n">
        <v>3000</v>
      </c>
      <c r="E9" s="35" t="s">
        <v>65</v>
      </c>
    </row>
    <row r="10" customFormat="false" ht="21.75" hidden="false" customHeight="true" outlineLevel="0" collapsed="false">
      <c r="A10" s="23" t="s">
        <v>66</v>
      </c>
      <c r="B10" s="24" t="n">
        <v>1200</v>
      </c>
      <c r="C10" s="26" t="n">
        <f aca="false">IFERROR(B10/SUM($B$5:$B$12),"-")</f>
        <v>0.0144927536231884</v>
      </c>
      <c r="D10" s="24" t="n">
        <v>1500</v>
      </c>
      <c r="E10" s="35" t="s">
        <v>67</v>
      </c>
    </row>
    <row r="11" customFormat="false" ht="21.75" hidden="false" customHeight="true" outlineLevel="0" collapsed="false">
      <c r="A11" s="23" t="s">
        <v>68</v>
      </c>
      <c r="B11" s="24" t="n">
        <v>1400</v>
      </c>
      <c r="C11" s="26" t="n">
        <f aca="false">IFERROR(B11/SUM($B$5:$B$12),"-")</f>
        <v>0.0169082125603865</v>
      </c>
      <c r="D11" s="24" t="n">
        <v>1400</v>
      </c>
      <c r="E11" s="35" t="s">
        <v>69</v>
      </c>
    </row>
    <row r="12" customFormat="false" ht="21.75" hidden="false" customHeight="true" outlineLevel="0" collapsed="false">
      <c r="A12" s="23" t="s">
        <v>70</v>
      </c>
      <c r="B12" s="24" t="n">
        <v>900</v>
      </c>
      <c r="C12" s="26" t="n">
        <f aca="false">IFERROR(B12/SUM($B$5:$B$12),"-")</f>
        <v>0.0108695652173913</v>
      </c>
      <c r="D12" s="24" t="n">
        <v>1000</v>
      </c>
      <c r="E12" s="35" t="s">
        <v>71</v>
      </c>
    </row>
    <row r="13" customFormat="false" ht="21.75" hidden="false" customHeight="true" outlineLevel="0" collapsed="false">
      <c r="A13" s="36"/>
      <c r="B13" s="37"/>
      <c r="C13" s="32"/>
      <c r="D13" s="37"/>
      <c r="E13" s="38"/>
    </row>
    <row r="14" customFormat="false" ht="21.75" hidden="false" customHeight="true" outlineLevel="0" collapsed="false">
      <c r="A14" s="36"/>
      <c r="B14" s="37"/>
      <c r="C14" s="32"/>
      <c r="D14" s="37"/>
      <c r="E14" s="38"/>
    </row>
    <row r="15" customFormat="false" ht="21.75" hidden="false" customHeight="true" outlineLevel="0" collapsed="false">
      <c r="A15" s="36"/>
      <c r="B15" s="37"/>
      <c r="C15" s="32"/>
      <c r="D15" s="37"/>
      <c r="E15" s="38"/>
    </row>
    <row r="16" customFormat="false" ht="21.75" hidden="false" customHeight="true" outlineLevel="0" collapsed="false">
      <c r="A16" s="36"/>
      <c r="B16" s="37"/>
      <c r="C16" s="32"/>
      <c r="D16" s="37"/>
      <c r="E16" s="38"/>
    </row>
    <row r="17" customFormat="false" ht="21.75" hidden="false" customHeight="true" outlineLevel="0" collapsed="false">
      <c r="A17" s="36"/>
      <c r="B17" s="37"/>
      <c r="C17" s="32"/>
      <c r="D17" s="37"/>
      <c r="E17" s="38"/>
    </row>
    <row r="19" customFormat="false" ht="24" hidden="false" customHeight="true" outlineLevel="0" collapsed="false">
      <c r="A19" s="39" t="s">
        <v>72</v>
      </c>
      <c r="B19" s="29" t="n">
        <f aca="false">SUM(B5:B18)</f>
        <v>82800</v>
      </c>
      <c r="C19" s="40" t="s">
        <v>73</v>
      </c>
      <c r="D19" s="29" t="n">
        <f aca="false">SUM(D5:D18)</f>
        <v>86900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40"/>
  </cols>
  <sheetData>
    <row r="1" customFormat="false" ht="36" hidden="false" customHeight="true" outlineLevel="0" collapsed="false">
      <c r="B1" s="41" t="s">
        <v>74</v>
      </c>
      <c r="C1" s="41"/>
    </row>
    <row r="3" customFormat="false" ht="21.75" hidden="false" customHeight="true" outlineLevel="0" collapsed="false">
      <c r="B3" s="42" t="s">
        <v>75</v>
      </c>
      <c r="C3" s="43" t="s">
        <v>76</v>
      </c>
    </row>
    <row r="4" customFormat="false" ht="21.75" hidden="false" customHeight="true" outlineLevel="0" collapsed="false">
      <c r="B4" s="42" t="s">
        <v>77</v>
      </c>
      <c r="C4" s="43" t="s">
        <v>78</v>
      </c>
    </row>
    <row r="5" customFormat="false" ht="21.75" hidden="false" customHeight="true" outlineLevel="0" collapsed="false">
      <c r="B5" s="42" t="s">
        <v>79</v>
      </c>
      <c r="C5" s="43" t="s">
        <v>80</v>
      </c>
    </row>
    <row r="6" customFormat="false" ht="21.75" hidden="false" customHeight="true" outlineLevel="0" collapsed="false">
      <c r="B6" s="42" t="s">
        <v>81</v>
      </c>
      <c r="C6" s="43" t="s">
        <v>82</v>
      </c>
    </row>
    <row r="7" customFormat="false" ht="21.75" hidden="false" customHeight="true" outlineLevel="0" collapsed="false">
      <c r="B7" s="42" t="s">
        <v>83</v>
      </c>
      <c r="C7" s="43" t="s">
        <v>84</v>
      </c>
    </row>
    <row r="8" customFormat="false" ht="21.75" hidden="false" customHeight="true" outlineLevel="0" collapsed="false">
      <c r="B8" s="42" t="s">
        <v>85</v>
      </c>
      <c r="C8" s="43" t="s">
        <v>86</v>
      </c>
    </row>
    <row r="9" customFormat="false" ht="21.75" hidden="false" customHeight="true" outlineLevel="0" collapsed="false">
      <c r="B9" s="42" t="s">
        <v>87</v>
      </c>
      <c r="C9" s="43" t="s">
        <v>88</v>
      </c>
    </row>
    <row r="10" customFormat="false" ht="21.75" hidden="false" customHeight="true" outlineLevel="0" collapsed="false">
      <c r="B10" s="42" t="s">
        <v>89</v>
      </c>
      <c r="C10" s="43" t="s">
        <v>90</v>
      </c>
    </row>
    <row r="11" customFormat="false" ht="21.75" hidden="false" customHeight="true" outlineLevel="0" collapsed="false">
      <c r="B11" s="42" t="s">
        <v>91</v>
      </c>
      <c r="C11" s="43" t="s">
        <v>92</v>
      </c>
    </row>
  </sheetData>
  <mergeCells count="1">
    <mergeCell ref="B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2026-05-15T09:25:53Z</dcterms:created>
  <dc:creator>openpyxl</dc:creator>
  <dc:description/>
  <dc:language>en-US</dc:language>
  <cp:lastModifiedBy/>
  <dcterms:modified xsi:type="dcterms:W3CDTF">2026-05-15T09:25:53Z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