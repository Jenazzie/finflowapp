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Instructies" sheetId="1" state="visible" r:id="rId3"/>
    <sheet name="📊 Maanddata" sheetId="2" state="visible" r:id="rId4"/>
    <sheet name="🏷️ Kostendata" sheetId="3" state="visible" r:id="rId5"/>
    <sheet name="🏦 Balans" sheetId="4" state="visible" r:id="rId6"/>
    <sheet name="⚙️ Instellingen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<sst xmlns="http://schemas.openxmlformats.org/spreadsheetml/2006/main" count="223" uniqueCount="147">
  <si>
    <t xml:space="preserve">  FinFlowApp — Upload Sjabloon v2.0</t>
  </si>
  <si>
    <t xml:space="preserve">  Vul alle blauwe cellen in voor een volledig dashboard zonder fictieve waarden</t>
  </si>
  <si>
    <t xml:space="preserve">  📊 Maanddata</t>
  </si>
  <si>
    <t xml:space="preserve">  VERPLICHT</t>
  </si>
  <si>
    <t xml:space="preserve">Maandelijkse omzet, kosten, cashflow, budget en afschrijvingen</t>
  </si>
  <si>
    <t xml:space="preserve">  🏷️ Kostendata</t>
  </si>
  <si>
    <t xml:space="preserve">  AANBEVOLEN</t>
  </si>
  <si>
    <t xml:space="preserve">Uitsplitsing kosten per categorie (personeel, inkoop, huur etc.)</t>
  </si>
  <si>
    <t xml:space="preserve">  🏦 Balans</t>
  </si>
  <si>
    <t xml:space="preserve">Debiteuren, crediteuren, kas en voorraad → voor DSO, ratio's en liquiditeit</t>
  </si>
  <si>
    <t xml:space="preserve">  ⚙️ Instellingen</t>
  </si>
  <si>
    <t xml:space="preserve">  OPTIONEEL</t>
  </si>
  <si>
    <t xml:space="preserve">Bedrijfsnaam, sector, contactpersoon</t>
  </si>
  <si>
    <t xml:space="preserve">  Kleurlegenda</t>
  </si>
  <si>
    <t xml:space="preserve">   Blauw  = Invoercel — vul hier jouw eigen cijfers in</t>
  </si>
  <si>
    <t xml:space="preserve">   Groen  = Automatische berekening — niet aanpassen</t>
  </si>
  <si>
    <t xml:space="preserve">   Grijs  = Label of header</t>
  </si>
  <si>
    <t xml:space="preserve">  Regels</t>
  </si>
  <si>
    <t xml:space="preserve">  ✓  Bedragen invoeren als gehele getallen — geen €-teken, geen punten als duizendscheiding</t>
  </si>
  <si>
    <t xml:space="preserve">  ✓  Maandnamen exact zo schrijven: Jan, Feb, Mrt, Apr, Mei, Jun, Jul, Aug, Sep, Okt, Nov, Dec</t>
  </si>
  <si>
    <t xml:space="preserve">  ✓  Balanswaarden zijn momentopnames — vul de meest recente waarden in</t>
  </si>
  <si>
    <t xml:space="preserve">  !  Afschrijvingen invullen voor correcte EBITDA-berekening (anders wordt 0 aangenomen)</t>
  </si>
  <si>
    <t xml:space="preserve">  !  Cashflow is de daadwerkelijke operationele kasstroom — niet de winst</t>
  </si>
  <si>
    <t xml:space="preserve">  ✗  Gebruik geen formules in blauwe invoercellen — alleen getallen</t>
  </si>
  <si>
    <t xml:space="preserve">  📊 Maanddata — Omzet, Kosten &amp; Cashflow</t>
  </si>
  <si>
    <t xml:space="preserve">  Vul de blauwe cellen in. Zwarte cellen worden automatisch berekend door FinFlowApp.</t>
  </si>
  <si>
    <t xml:space="preserve">← Invoer (blauwe cellen)</t>
  </si>
  <si>
    <t xml:space="preserve">← Automatisch berekend</t>
  </si>
  <si>
    <t xml:space="preserve">Maand</t>
  </si>
  <si>
    <t xml:space="preserve">Omzet (€)</t>
  </si>
  <si>
    <t xml:space="preserve">Budget (€)</t>
  </si>
  <si>
    <t xml:space="preserve">Kosten (€)</t>
  </si>
  <si>
    <t xml:space="preserve">Cashflow (€)</t>
  </si>
  <si>
    <t xml:space="preserve">Afschrijv. (€)</t>
  </si>
  <si>
    <t xml:space="preserve">Bruto marge (€)</t>
  </si>
  <si>
    <t xml:space="preserve">Marge %</t>
  </si>
  <si>
    <t xml:space="preserve">EBITDA (€)</t>
  </si>
  <si>
    <t xml:space="preserve">Budgetreal. %</t>
  </si>
  <si>
    <t xml:space="preserve">Δ Omzet %</t>
  </si>
  <si>
    <t xml:space="preserve">Jan</t>
  </si>
  <si>
    <t xml:space="preserve">"-"</t>
  </si>
  <si>
    <t xml:space="preserve">Feb</t>
  </si>
  <si>
    <t xml:space="preserve">Mrt</t>
  </si>
  <si>
    <t xml:space="preserve">Apr</t>
  </si>
  <si>
    <t xml:space="preserve">Mei</t>
  </si>
  <si>
    <t xml:space="preserve">Jun</t>
  </si>
  <si>
    <t xml:space="preserve">Jul</t>
  </si>
  <si>
    <t xml:space="preserve">Aug</t>
  </si>
  <si>
    <t xml:space="preserve">Sep</t>
  </si>
  <si>
    <t xml:space="preserve">Okt</t>
  </si>
  <si>
    <t xml:space="preserve">Nov</t>
  </si>
  <si>
    <t xml:space="preserve">Dec</t>
  </si>
  <si>
    <t xml:space="preserve">TOTAAL / GEM.</t>
  </si>
  <si>
    <t xml:space="preserve">""</t>
  </si>
  <si>
    <t xml:space="preserve">  🏷️ Kostendata — Uitsplitsing per categorie</t>
  </si>
  <si>
    <t xml:space="preserve">  Vul de kosten per categorie in voor de meest recente maand of periode</t>
  </si>
  <si>
    <t xml:space="preserve">Categorie</t>
  </si>
  <si>
    <t xml:space="preserve">Bedrag (€)</t>
  </si>
  <si>
    <t xml:space="preserve">% van Totaal</t>
  </si>
  <si>
    <t xml:space="preserve">Toelichting</t>
  </si>
  <si>
    <t xml:space="preserve">Personeelskosten</t>
  </si>
  <si>
    <t xml:space="preserve">Salarissen, sociale lasten, pensioen, verzekeringen</t>
  </si>
  <si>
    <t xml:space="preserve">Inkoopkosten / COGS</t>
  </si>
  <si>
    <t xml:space="preserve">Materiaal, inkoop goederen/diensten voor verkoop</t>
  </si>
  <si>
    <t xml:space="preserve">Huisvestingskosten</t>
  </si>
  <si>
    <t xml:space="preserve">Huur, energie, schoonmaak, beveiliging, onderhoud</t>
  </si>
  <si>
    <t xml:space="preserve">Marketing &amp; Sales</t>
  </si>
  <si>
    <t xml:space="preserve">Advertenties, events, CRM, sales tools, promotie</t>
  </si>
  <si>
    <t xml:space="preserve">ICT &amp; Software</t>
  </si>
  <si>
    <t xml:space="preserve">Licenties, hosting, hardware, support</t>
  </si>
  <si>
    <t xml:space="preserve">Financiële kosten</t>
  </si>
  <si>
    <t xml:space="preserve">Accountant, advies, bank, verzekering, notaris</t>
  </si>
  <si>
    <t xml:space="preserve">Afschrijvingen</t>
  </si>
  <si>
    <t xml:space="preserve">Inventaris, machines, immaterieel, goodwill</t>
  </si>
  <si>
    <t xml:space="preserve">Overige kosten</t>
  </si>
  <si>
    <t xml:space="preserve">Overige niet-gecategoriseerde operationele kosten</t>
  </si>
  <si>
    <t xml:space="preserve">TOTAAL</t>
  </si>
  <si>
    <t xml:space="preserve">100,0%</t>
  </si>
  <si>
    <t xml:space="preserve">  🏦 Balans — Liquiditeit &amp; Werkkapitaal</t>
  </si>
  <si>
    <t xml:space="preserve">  Momentopname van jouw balansposities — gebruikt voor DSO, current ratio, kasdekking en werkkapitaal in FinFlowApp</t>
  </si>
  <si>
    <t xml:space="preserve">Balanspost</t>
  </si>
  <si>
    <t xml:space="preserve">Huidig bedrag (€)</t>
  </si>
  <si>
    <t xml:space="preserve">Vorige periode (€)</t>
  </si>
  <si>
    <t xml:space="preserve">  VLOTTENDE ACTIVA</t>
  </si>
  <si>
    <t xml:space="preserve">Debiteuren (openstaande facturen)</t>
  </si>
  <si>
    <t xml:space="preserve">Totaal openstaande vorderingen op klanten</t>
  </si>
  <si>
    <t xml:space="preserve">Kas &amp; Banktegoeden</t>
  </si>
  <si>
    <t xml:space="preserve">Direct beschikbare liquide middelen</t>
  </si>
  <si>
    <t xml:space="preserve">Voorraad</t>
  </si>
  <si>
    <t xml:space="preserve">Waarde van de aanwezige voorraad</t>
  </si>
  <si>
    <t xml:space="preserve">Overige vlottende activa</t>
  </si>
  <si>
    <t xml:space="preserve">Vooruitbetaalde kosten, nog te ontvangen</t>
  </si>
  <si>
    <t xml:space="preserve">  KORTLOPENDE SCHULDEN</t>
  </si>
  <si>
    <t xml:space="preserve">Crediteuren (te betalen facturen)</t>
  </si>
  <si>
    <t xml:space="preserve">Openstaande schulden aan leveranciers</t>
  </si>
  <si>
    <t xml:space="preserve">Belastingschulden (BTW, LB)</t>
  </si>
  <si>
    <t xml:space="preserve">Nog te betalen belastingen</t>
  </si>
  <si>
    <t xml:space="preserve">Overige kortlopende schulden</t>
  </si>
  <si>
    <t xml:space="preserve">Overige schulden met looptijd &lt; 1 jaar</t>
  </si>
  <si>
    <t xml:space="preserve">  AANVULLENDE INFORMATIE</t>
  </si>
  <si>
    <t xml:space="preserve">Omzet afgelopen 12 maanden (€)</t>
  </si>
  <si>
    <t xml:space="preserve">Gebruikt voor DSO-berekening</t>
  </si>
  <si>
    <t xml:space="preserve">Gemiddelde betalingstermijn klanten (dagen)</t>
  </si>
  <si>
    <t xml:space="preserve">Contractuele betalingstermijn debiteuren</t>
  </si>
  <si>
    <t xml:space="preserve">Gemiddelde betalingstermijn leveranciers (dgn)</t>
  </si>
  <si>
    <t xml:space="preserve">Contractuele betalingstermijn crediteuren</t>
  </si>
  <si>
    <t xml:space="preserve">  AUTOMATISCH BEREKENDE RATIO'S</t>
  </si>
  <si>
    <t xml:space="preserve">Current Ratio</t>
  </si>
  <si>
    <t xml:space="preserve">Vlottende activa / Kortlopende schulden — norm: &gt; 1,5x</t>
  </si>
  <si>
    <t xml:space="preserve">Quick Ratio</t>
  </si>
  <si>
    <t xml:space="preserve">Zonder voorraad — norm: &gt; 1,0x</t>
  </si>
  <si>
    <t xml:space="preserve">DSO (debiteurendagen)</t>
  </si>
  <si>
    <t xml:space="preserve">Debiteuren / (Jaaromzet/365) — gemiddeld aantal dagen openstaand</t>
  </si>
  <si>
    <t xml:space="preserve">DPO (crediteurendagen)</t>
  </si>
  <si>
    <t xml:space="preserve">Crediteuren / (Jaaromzet/365) — hoe lang leveranciers wachten</t>
  </si>
  <si>
    <t xml:space="preserve">Werkkapitaal (€)</t>
  </si>
  <si>
    <t xml:space="preserve">Vlottende activa minus kortlopende schulden</t>
  </si>
  <si>
    <t xml:space="preserve">Kasdekking (maanden)</t>
  </si>
  <si>
    <t xml:space="preserve">Hoeveel maanden schulden de kas dekt</t>
  </si>
  <si>
    <t xml:space="preserve">  Bedrijfsinformatie voor rapportageheader en FinFlowApp configuratie</t>
  </si>
  <si>
    <t xml:space="preserve">  BEDRIJFSINFORMATIE</t>
  </si>
  <si>
    <t xml:space="preserve">Bedrijfsnaam</t>
  </si>
  <si>
    <t xml:space="preserve">Bakker &amp; Zonen B.V.</t>
  </si>
  <si>
    <t xml:space="preserve">KvK-nummer</t>
  </si>
  <si>
    <t xml:space="preserve">12345678</t>
  </si>
  <si>
    <t xml:space="preserve">BTW-nummer</t>
  </si>
  <si>
    <t xml:space="preserve">NL001234567B01</t>
  </si>
  <si>
    <t xml:space="preserve">Sector</t>
  </si>
  <si>
    <t xml:space="preserve">Groothandel</t>
  </si>
  <si>
    <t xml:space="preserve">Aantal medewerkers</t>
  </si>
  <si>
    <t xml:space="preserve">12</t>
  </si>
  <si>
    <t xml:space="preserve">  RAPPORTAGE</t>
  </si>
  <si>
    <t xml:space="preserve">Boekjaar start</t>
  </si>
  <si>
    <t xml:space="preserve">Januari</t>
  </si>
  <si>
    <t xml:space="preserve">Rapportageperiode</t>
  </si>
  <si>
    <t xml:space="preserve">Maandelijks</t>
  </si>
  <si>
    <t xml:space="preserve">Valuta</t>
  </si>
  <si>
    <t xml:space="preserve">Euro (€)</t>
  </si>
  <si>
    <t xml:space="preserve">  CONTACT</t>
  </si>
  <si>
    <t xml:space="preserve">Contactpersoon</t>
  </si>
  <si>
    <t xml:space="preserve">Jan de Vries</t>
  </si>
  <si>
    <t xml:space="preserve">Functie</t>
  </si>
  <si>
    <t xml:space="preserve">Directeur / CFO</t>
  </si>
  <si>
    <t xml:space="preserve">E-mail</t>
  </si>
  <si>
    <t xml:space="preserve">jan@bakkerenzonenb.nl</t>
  </si>
  <si>
    <t xml:space="preserve">Telefoonnummer</t>
  </si>
  <si>
    <t xml:space="preserve">+31 6 12345678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</si>
</sst>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€#,##0;&quot;(€&quot;#,##0\);\-"/>
    <numFmt numFmtId="166" formatCode="0.0%;\(0.0%\);\-"/>
    <numFmt numFmtId="167" formatCode="0.0\x;\-0.0\x;\-"/>
    <numFmt numFmtId="168" formatCode="#,##0&quot; dgn&quot;;\-#,##0&quot; dgn&quot;;\-"/>
    <numFmt numFmtId="169" formatCode="0.0&quot; mnd&quot;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Calibri"/>
      <family val="0"/>
      <charset val="1"/>
    </font>
    <font>
      <i val="true"/>
      <sz val="9"/>
      <color rgb="FF8892AA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9"/>
      <color rgb="FF34D399"/>
      <name val="Calibri"/>
      <family val="0"/>
      <charset val="1"/>
    </font>
    <font>
      <b val="true"/>
      <sz val="9"/>
      <color rgb="FF8892AA"/>
      <name val="Calibri"/>
      <family val="0"/>
      <charset val="1"/>
    </font>
    <font>
      <b val="true"/>
      <sz val="9"/>
      <color rgb="FF4F8EF7"/>
      <name val="Calibri"/>
      <family val="0"/>
      <charset val="1"/>
    </font>
    <font>
      <sz val="9"/>
      <color rgb="FF1E40AF"/>
      <name val="Calibri"/>
      <family val="0"/>
      <charset val="1"/>
    </font>
    <font>
      <sz val="9"/>
      <color rgb="FF1C1C1C"/>
      <name val="Calibri"/>
      <family val="0"/>
      <charset val="1"/>
    </font>
    <font>
      <sz val="9"/>
      <color rgb="FF8892AA"/>
      <name val="Calibri"/>
      <family val="0"/>
      <charset val="1"/>
    </font>
    <font>
      <sz val="9"/>
      <color rgb="FF34D399"/>
      <name val="Calibri"/>
      <family val="0"/>
      <charset val="1"/>
    </font>
    <font>
      <sz val="9"/>
      <color rgb="FFFBBF24"/>
      <name val="Calibri"/>
      <family val="0"/>
      <charset val="1"/>
    </font>
    <font>
      <sz val="9"/>
      <color rgb="FFF87171"/>
      <name val="Calibri"/>
      <family val="0"/>
      <charset val="1"/>
    </font>
    <font>
      <i val="true"/>
      <sz val="8"/>
      <color rgb="FF8892AA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10"/>
      <color rgb="FFE2E8F8"/>
      <name val="Calibri"/>
      <family val="0"/>
      <charset val="1"/>
    </font>
    <font>
      <sz val="10"/>
      <color rgb="FF1E40AF"/>
      <name val="Calibri"/>
      <family val="0"/>
      <charset val="1"/>
    </font>
    <font>
      <sz val="10"/>
      <color rgb="FF1C1C1C"/>
      <name val="Calibri"/>
      <family val="0"/>
      <charset val="1"/>
    </font>
    <font>
      <b val="true"/>
      <sz val="10"/>
      <color rgb="FF4F8EF7"/>
      <name val="Calibri"/>
      <family val="0"/>
      <charset val="1"/>
    </font>
    <font>
      <b val="true"/>
      <sz val="10"/>
      <color rgb="FF166534"/>
      <name val="Calibri"/>
      <family val="0"/>
      <charset val="1"/>
    </font>
    <font>
      <sz val="10"/>
      <color rgb="FF4A5368"/>
      <name val="Calibri"/>
      <family val="0"/>
      <charset val="1"/>
    </font>
    <font>
      <sz val="10"/>
      <color rgb="FF8892AA"/>
      <name val="Calibri"/>
      <family val="0"/>
      <charset val="1"/>
    </font>
    <font>
      <b val="true"/>
      <sz val="10"/>
      <color rgb="FF34D399"/>
      <name val="Calibri"/>
      <family val="0"/>
      <charset val="1"/>
    </font>
    <font>
      <sz val="10"/>
      <color rgb="FFE2E8F8"/>
      <name val="Calibri"/>
      <family val="0"/>
      <charset val="1"/>
    </font>
    <font>
      <b val="true"/>
      <sz val="10"/>
      <color rgb="FF8892AA"/>
      <name val="Calibri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4F8EF7"/>
        <bgColor rgb="FF0EA5E9"/>
      </patternFill>
    </fill>
    <fill>
      <patternFill patternType="solid">
        <fgColor rgb="FF1A1F2E"/>
        <bgColor rgb="FF1C1C1C"/>
      </patternFill>
    </fill>
    <fill>
      <patternFill patternType="solid">
        <fgColor rgb="FF0F1318"/>
        <bgColor rgb="FF1C1C1C"/>
      </patternFill>
    </fill>
    <fill>
      <patternFill patternType="solid">
        <fgColor rgb="FF34D399"/>
        <bgColor rgb="FF339966"/>
      </patternFill>
    </fill>
    <fill>
      <patternFill patternType="solid">
        <fgColor rgb="FF0EA5E9"/>
        <bgColor rgb="FF4F8EF7"/>
      </patternFill>
    </fill>
    <fill>
      <patternFill patternType="solid">
        <fgColor rgb="FFA78BFA"/>
        <bgColor rgb="FFCC99FF"/>
      </patternFill>
    </fill>
    <fill>
      <patternFill patternType="solid">
        <fgColor rgb="FFEFF6FF"/>
        <bgColor rgb="FFF0FFF8"/>
      </patternFill>
    </fill>
    <fill>
      <patternFill patternType="solid">
        <fgColor rgb="FFF0FFF8"/>
        <bgColor rgb="FFEFF6FF"/>
      </patternFill>
    </fill>
    <fill>
      <patternFill patternType="solid">
        <fgColor rgb="FFFBBF24"/>
        <bgColor rgb="FFFF9900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 diagonalUp="false" diagonalDown="false">
      <left style="thin">
        <color rgb="FFD1D5DB"/>
      </left>
      <right/>
      <top style="thin">
        <color rgb="FFD1D5DB"/>
      </top>
      <bottom style="thin">
        <color rgb="FFD1D5DB"/>
      </bottom>
      <diagonal/>
    </border>
    <border diagonalUp="false" diagonalDown="false">
      <left style="thin">
        <color rgb="FFD1D5DB"/>
      </left>
      <right style="thin">
        <color rgb="FFD1D5DB"/>
      </right>
      <top style="medium">
        <color rgb="FF1A1F2E"/>
      </top>
      <bottom style="medium">
        <color rgb="FF4F8EF7"/>
      </bottom>
      <diagonal/>
    </border>
    <border diagonalUp="false" diagonalDown="false">
      <left style="thin">
        <color rgb="FFD1D5DB"/>
      </left>
      <right style="thin">
        <color rgb="FFD1D5DB"/>
      </right>
      <top style="medium">
        <color rgb="FF4F8EF7"/>
      </top>
      <bottom style="medium">
        <color rgb="FF4F8EF7"/>
      </bottom>
      <diagonal/>
    </border>
    <border diagonalUp="false" diagonalDown="false">
      <left style="thin">
        <color rgb="FFD1D5DB"/>
      </left>
      <right style="thin">
        <color rgb="FFD1D5DB"/>
      </right>
      <top style="medium">
        <color rgb="FF34D399"/>
      </top>
      <bottom style="medium">
        <color rgb="FF4F8EF7"/>
      </bottom>
      <diagonal/>
    </border>
    <border diagonalUp="false" diagonalDown="false">
      <left style="thin">
        <color rgb="FFD1D5DB"/>
      </left>
      <right style="thin">
        <color rgb="FFD1D5DB"/>
      </right>
      <top style="medium">
        <color rgb="FFFBBF24"/>
      </top>
      <bottom style="medium">
        <color rgb="FF4F8EF7"/>
      </bottom>
      <diagonal/>
    </border>
    <border diagonalUp="false" diagonalDown="false">
      <left style="thin">
        <color rgb="FFD1D5DB"/>
      </left>
      <right style="thin">
        <color rgb="FFD1D5DB"/>
      </right>
      <top style="medium">
        <color rgb="FF0EA5E9"/>
      </top>
      <bottom style="medium">
        <color rgb="FF4F8EF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5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6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9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0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0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22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2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3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4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5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4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7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3" borderId="1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17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4" borderId="1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7" fontId="22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4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22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2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2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7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7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9" fillId="8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66534"/>
      <rgbColor rgb="FF000080"/>
      <rgbColor rgb="FF808000"/>
      <rgbColor rgb="FF800080"/>
      <rgbColor rgb="FF008080"/>
      <rgbColor rgb="FFC0C0C0"/>
      <rgbColor rgb="FF808080"/>
      <rgbColor rgb="FFA78BFA"/>
      <rgbColor rgb="FF993366"/>
      <rgbColor rgb="FFF0FFF8"/>
      <rgbColor rgb="FFEFF6FF"/>
      <rgbColor rgb="FF660066"/>
      <rgbColor rgb="FFF87171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EA5E9"/>
      <rgbColor rgb="FFE2E8F8"/>
      <rgbColor rgb="FFCCFFCC"/>
      <rgbColor rgb="FFFFFF99"/>
      <rgbColor rgb="FF99CCFF"/>
      <rgbColor rgb="FFFF99CC"/>
      <rgbColor rgb="FFCC99FF"/>
      <rgbColor rgb="FFFFCC99"/>
      <rgbColor rgb="FF4F8EF7"/>
      <rgbColor rgb="FF34D399"/>
      <rgbColor rgb="FF99CC00"/>
      <rgbColor rgb="FFFBBF24"/>
      <rgbColor rgb="FFFF9900"/>
      <rgbColor rgb="FFFF6600"/>
      <rgbColor rgb="FF4A5368"/>
      <rgbColor rgb="FF8892AA"/>
      <rgbColor rgb="FF003366"/>
      <rgbColor rgb="FF339966"/>
      <rgbColor rgb="FF0F1318"/>
      <rgbColor rgb="FF1C1C1C"/>
      <rgbColor rgb="FF993300"/>
      <rgbColor rgb="FF993366"/>
      <rgbColor rgb="FF1E40AF"/>
      <rgbColor rgb="FF1A1F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6"/>
    <col collapsed="false" customWidth="true" hidden="false" outlineLevel="0" max="3" min="3" style="0" width="62"/>
  </cols>
  <sheetData>
    <row r="1" customFormat="false" ht="37.5" hidden="false" customHeight="true" outlineLevel="0" collapsed="false">
      <c r="A1" s="1" t="s">
        <v>0</v>
      </c>
      <c r="B1" s="1"/>
    </row>
    <row r="2" customFormat="false" ht="18" hidden="false" customHeight="true" outlineLevel="0" collapsed="false">
      <c r="A2" s="2" t="s">
        <v>1</v>
      </c>
      <c r="B2" s="2"/>
    </row>
    <row r="3" customFormat="false" ht="7.5" hidden="false" customHeight="true" outlineLevel="0" collapsed="false"/>
    <row r="4" customFormat="false" ht="21.75" hidden="false" customHeight="true" outlineLevel="0" collapsed="false">
      <c r="B4" s="3" t="s">
        <v>2</v>
      </c>
      <c r="C4" s="3"/>
    </row>
    <row r="5" customFormat="false" ht="15.75" hidden="false" customHeight="true" outlineLevel="0" collapsed="false">
      <c r="B5" s="4" t="s">
        <v>3</v>
      </c>
      <c r="C5" s="5" t="s">
        <v>4</v>
      </c>
    </row>
    <row r="6" customFormat="false" ht="6" hidden="false" customHeight="true" outlineLevel="0" collapsed="false"/>
    <row r="7" customFormat="false" ht="21.75" hidden="false" customHeight="true" outlineLevel="0" collapsed="false">
      <c r="B7" s="6" t="s">
        <v>5</v>
      </c>
      <c r="C7" s="6"/>
    </row>
    <row r="8" customFormat="false" ht="15.75" hidden="false" customHeight="true" outlineLevel="0" collapsed="false">
      <c r="B8" s="7" t="s">
        <v>6</v>
      </c>
      <c r="C8" s="5" t="s">
        <v>7</v>
      </c>
    </row>
    <row r="9" customFormat="false" ht="6" hidden="false" customHeight="true" outlineLevel="0" collapsed="false"/>
    <row r="10" customFormat="false" ht="21.75" hidden="false" customHeight="true" outlineLevel="0" collapsed="false">
      <c r="B10" s="8" t="s">
        <v>8</v>
      </c>
      <c r="C10" s="8"/>
    </row>
    <row r="11" customFormat="false" ht="15.75" hidden="false" customHeight="true" outlineLevel="0" collapsed="false">
      <c r="B11" s="7" t="s">
        <v>6</v>
      </c>
      <c r="C11" s="5" t="s">
        <v>9</v>
      </c>
    </row>
    <row r="12" customFormat="false" ht="6" hidden="false" customHeight="true" outlineLevel="0" collapsed="false"/>
    <row r="13" customFormat="false" ht="21.75" hidden="false" customHeight="true" outlineLevel="0" collapsed="false">
      <c r="B13" s="9" t="s">
        <v>10</v>
      </c>
      <c r="C13" s="9"/>
    </row>
    <row r="14" customFormat="false" ht="15.75" hidden="false" customHeight="true" outlineLevel="0" collapsed="false">
      <c r="B14" s="7" t="s">
        <v>11</v>
      </c>
      <c r="C14" s="5" t="s">
        <v>12</v>
      </c>
    </row>
    <row r="15" customFormat="false" ht="6" hidden="false" customHeight="true" outlineLevel="0" collapsed="false"/>
    <row r="16" customFormat="false" ht="7.5" hidden="false" customHeight="true" outlineLevel="0" collapsed="false"/>
    <row r="17" customFormat="false" ht="19.5" hidden="false" customHeight="true" outlineLevel="0" collapsed="false">
      <c r="A17" s="10" t="s">
        <v>13</v>
      </c>
      <c r="B17" s="10"/>
    </row>
    <row r="18" customFormat="false" ht="18" hidden="false" customHeight="true" outlineLevel="0" collapsed="false">
      <c r="B18" s="11" t="s">
        <v>14</v>
      </c>
      <c r="C18" s="11"/>
    </row>
    <row r="19" customFormat="false" ht="18" hidden="false" customHeight="true" outlineLevel="0" collapsed="false">
      <c r="B19" s="12" t="s">
        <v>15</v>
      </c>
      <c r="C19" s="12"/>
    </row>
    <row r="20" customFormat="false" ht="18" hidden="false" customHeight="true" outlineLevel="0" collapsed="false">
      <c r="B20" s="13" t="s">
        <v>16</v>
      </c>
      <c r="C20" s="13"/>
    </row>
    <row r="21" customFormat="false" ht="7.5" hidden="false" customHeight="true" outlineLevel="0" collapsed="false"/>
    <row r="22" customFormat="false" ht="19.5" hidden="false" customHeight="true" outlineLevel="0" collapsed="false">
      <c r="A22" s="10" t="s">
        <v>17</v>
      </c>
      <c r="B22" s="10"/>
    </row>
    <row r="23" customFormat="false" ht="15.75" hidden="false" customHeight="true" outlineLevel="0" collapsed="false">
      <c r="B23" s="14" t="s">
        <v>18</v>
      </c>
      <c r="C23" s="14"/>
    </row>
    <row r="24" customFormat="false" ht="15.75" hidden="false" customHeight="true" outlineLevel="0" collapsed="false">
      <c r="B24" s="14" t="s">
        <v>19</v>
      </c>
      <c r="C24" s="14"/>
    </row>
    <row r="25" customFormat="false" ht="15.75" hidden="false" customHeight="true" outlineLevel="0" collapsed="false">
      <c r="B25" s="14" t="s">
        <v>20</v>
      </c>
      <c r="C25" s="14"/>
    </row>
    <row r="26" customFormat="false" ht="15.75" hidden="false" customHeight="true" outlineLevel="0" collapsed="false">
      <c r="B26" s="15" t="s">
        <v>21</v>
      </c>
      <c r="C26" s="15"/>
    </row>
    <row r="27" customFormat="false" ht="15.75" hidden="false" customHeight="true" outlineLevel="0" collapsed="false">
      <c r="B27" s="15" t="s">
        <v>22</v>
      </c>
      <c r="C27" s="15"/>
    </row>
    <row r="28" customFormat="false" ht="15.75" hidden="false" customHeight="true" outlineLevel="0" collapsed="false">
      <c r="B28" s="16" t="s">
        <v>23</v>
      </c>
      <c r="C28" s="16"/>
    </row>
  </sheetData>
  <mergeCells count="17">
    <mergeCell ref="A1:B1"/>
    <mergeCell ref="A2:B2"/>
    <mergeCell ref="B4:C4"/>
    <mergeCell ref="B7:C7"/>
    <mergeCell ref="B10:C10"/>
    <mergeCell ref="B13:C13"/>
    <mergeCell ref="A17:B17"/>
    <mergeCell ref="B18:C18"/>
    <mergeCell ref="B19:C19"/>
    <mergeCell ref="B20:C20"/>
    <mergeCell ref="A22:B22"/>
    <mergeCell ref="B23:C23"/>
    <mergeCell ref="B24:C24"/>
    <mergeCell ref="B25:C25"/>
    <mergeCell ref="B26:C26"/>
    <mergeCell ref="B27:C27"/>
    <mergeCell ref="B28:C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5" min="2" style="0" width="14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11" min="8" style="0" width="13"/>
  </cols>
  <sheetData>
    <row r="1" customFormat="false" ht="37.5" hidden="false" customHeight="true" outlineLevel="0" collapsed="false">
      <c r="A1" s="1" t="s">
        <v>24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8" hidden="false" customHeight="true" outlineLevel="0" collapsed="false">
      <c r="A2" s="2" t="s">
        <v>25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7.5" hidden="false" customHeight="true" outlineLevel="0" collapsed="false"/>
    <row r="4" customFormat="false" ht="18" hidden="false" customHeight="true" outlineLevel="0" collapsed="false">
      <c r="A4" s="17"/>
      <c r="B4" s="18" t="s">
        <v>26</v>
      </c>
      <c r="C4" s="18"/>
      <c r="D4" s="18"/>
      <c r="E4" s="18"/>
      <c r="F4" s="18" t="s">
        <v>27</v>
      </c>
      <c r="G4" s="18"/>
      <c r="H4" s="18"/>
      <c r="I4" s="18"/>
      <c r="J4" s="18"/>
      <c r="K4" s="18"/>
    </row>
    <row r="5" customFormat="false" ht="30" hidden="false" customHeight="true" outlineLevel="0" collapsed="false">
      <c r="A5" s="19" t="s">
        <v>28</v>
      </c>
      <c r="B5" s="20" t="s">
        <v>29</v>
      </c>
      <c r="C5" s="21" t="s">
        <v>30</v>
      </c>
      <c r="D5" s="22" t="s">
        <v>31</v>
      </c>
      <c r="E5" s="23" t="s">
        <v>32</v>
      </c>
      <c r="F5" s="20" t="s">
        <v>33</v>
      </c>
      <c r="G5" s="24" t="s">
        <v>34</v>
      </c>
      <c r="H5" s="24" t="s">
        <v>35</v>
      </c>
      <c r="I5" s="24" t="s">
        <v>36</v>
      </c>
      <c r="J5" s="24" t="s">
        <v>37</v>
      </c>
      <c r="K5" s="24" t="s">
        <v>38</v>
      </c>
    </row>
    <row r="6" customFormat="false" ht="19.5" hidden="false" customHeight="true" outlineLevel="0" collapsed="false">
      <c r="A6" s="25" t="s">
        <v>39</v>
      </c>
      <c r="B6" s="26" t="n">
        <v>84200</v>
      </c>
      <c r="C6" s="26" t="n">
        <v>90000</v>
      </c>
      <c r="D6" s="26" t="n">
        <v>61300</v>
      </c>
      <c r="E6" s="26" t="n">
        <v>18200</v>
      </c>
      <c r="F6" s="26" t="n">
        <v>1400</v>
      </c>
      <c r="G6" s="27" t="n">
        <f aca="false">IF(OR(B6="",B6=0),"-",B6-D6)</f>
        <v>22900</v>
      </c>
      <c r="H6" s="28" t="n">
        <f aca="false">IF(OR(B6="",B6=0),"-",(B6-D6)/B6)</f>
        <v>0.271971496437055</v>
      </c>
      <c r="I6" s="27" t="n">
        <f aca="false">IF(OR(B6="",B6=0),"-",(B6-D6)+F6)</f>
        <v>24300</v>
      </c>
      <c r="J6" s="28" t="n">
        <f aca="false">IF(OR(B6="",C6="",C6=0),"-",B6/C6)</f>
        <v>0.935555555555556</v>
      </c>
      <c r="K6" s="28" t="s">
        <v>40</v>
      </c>
    </row>
    <row r="7" customFormat="false" ht="19.5" hidden="false" customHeight="true" outlineLevel="0" collapsed="false">
      <c r="A7" s="25" t="s">
        <v>41</v>
      </c>
      <c r="B7" s="26" t="n">
        <v>79400</v>
      </c>
      <c r="C7" s="26" t="n">
        <v>85000</v>
      </c>
      <c r="D7" s="26" t="n">
        <v>58200</v>
      </c>
      <c r="E7" s="26" t="n">
        <v>16800</v>
      </c>
      <c r="F7" s="26" t="n">
        <v>1400</v>
      </c>
      <c r="G7" s="27" t="n">
        <f aca="false">IF(OR(B7="",B7=0),"-",B7-D7)</f>
        <v>21200</v>
      </c>
      <c r="H7" s="28" t="n">
        <f aca="false">IF(OR(B7="",B7=0),"-",(B7-D7)/B7)</f>
        <v>0.267002518891688</v>
      </c>
      <c r="I7" s="27" t="n">
        <f aca="false">IF(OR(B7="",B7=0),"-",(B7-D7)+F7)</f>
        <v>22600</v>
      </c>
      <c r="J7" s="28" t="n">
        <f aca="false">IF(OR(B7="",C7="",C7=0),"-",B7/C7)</f>
        <v>0.934117647058824</v>
      </c>
      <c r="K7" s="28" t="n">
        <f aca="false">IF(OR(B7="",B6="",B6=0),"-",(B7-B6)/B6)</f>
        <v>-0.0570071258907363</v>
      </c>
    </row>
    <row r="8" customFormat="false" ht="19.5" hidden="false" customHeight="true" outlineLevel="0" collapsed="false">
      <c r="A8" s="25" t="s">
        <v>42</v>
      </c>
      <c r="B8" s="26" t="n">
        <v>91800</v>
      </c>
      <c r="C8" s="26" t="n">
        <v>88000</v>
      </c>
      <c r="D8" s="26" t="n">
        <v>63100</v>
      </c>
      <c r="E8" s="26" t="n">
        <v>22400</v>
      </c>
      <c r="F8" s="26" t="n">
        <v>1400</v>
      </c>
      <c r="G8" s="27" t="n">
        <f aca="false">IF(OR(B8="",B8=0),"-",B8-D8)</f>
        <v>28700</v>
      </c>
      <c r="H8" s="28" t="n">
        <f aca="false">IF(OR(B8="",B8=0),"-",(B8-D8)/B8)</f>
        <v>0.312636165577342</v>
      </c>
      <c r="I8" s="27" t="n">
        <f aca="false">IF(OR(B8="",B8=0),"-",(B8-D8)+F8)</f>
        <v>30100</v>
      </c>
      <c r="J8" s="28" t="n">
        <f aca="false">IF(OR(B8="",C8="",C8=0),"-",B8/C8)</f>
        <v>1.04318181818182</v>
      </c>
      <c r="K8" s="28" t="n">
        <f aca="false">IF(OR(B8="",B7="",B7=0),"-",(B8-B7)/B7)</f>
        <v>0.156171284634761</v>
      </c>
    </row>
    <row r="9" customFormat="false" ht="19.5" hidden="false" customHeight="true" outlineLevel="0" collapsed="false">
      <c r="A9" s="25" t="s">
        <v>43</v>
      </c>
      <c r="B9" s="26" t="n">
        <v>97300</v>
      </c>
      <c r="C9" s="26" t="n">
        <v>95000</v>
      </c>
      <c r="D9" s="26" t="n">
        <v>67400</v>
      </c>
      <c r="E9" s="26" t="n">
        <v>23600</v>
      </c>
      <c r="F9" s="26" t="n">
        <v>1400</v>
      </c>
      <c r="G9" s="27" t="n">
        <f aca="false">IF(OR(B9="",B9=0),"-",B9-D9)</f>
        <v>29900</v>
      </c>
      <c r="H9" s="28" t="n">
        <f aca="false">IF(OR(B9="",B9=0),"-",(B9-D9)/B9)</f>
        <v>0.307297019527235</v>
      </c>
      <c r="I9" s="27" t="n">
        <f aca="false">IF(OR(B9="",B9=0),"-",(B9-D9)+F9)</f>
        <v>31300</v>
      </c>
      <c r="J9" s="28" t="n">
        <f aca="false">IF(OR(B9="",C9="",C9=0),"-",B9/C9)</f>
        <v>1.02421052631579</v>
      </c>
      <c r="K9" s="28" t="n">
        <f aca="false">IF(OR(B9="",B8="",B8=0),"-",(B9-B8)/B8)</f>
        <v>0.0599128540305011</v>
      </c>
    </row>
    <row r="10" customFormat="false" ht="19.5" hidden="false" customHeight="true" outlineLevel="0" collapsed="false">
      <c r="A10" s="25" t="s">
        <v>44</v>
      </c>
      <c r="B10" s="26" t="n">
        <v>103600</v>
      </c>
      <c r="C10" s="26" t="n">
        <v>100000</v>
      </c>
      <c r="D10" s="26" t="n">
        <v>71200</v>
      </c>
      <c r="E10" s="26" t="n">
        <v>26800</v>
      </c>
      <c r="F10" s="26" t="n">
        <v>1400</v>
      </c>
      <c r="G10" s="27" t="n">
        <f aca="false">IF(OR(B10="",B10=0),"-",B10-D10)</f>
        <v>32400</v>
      </c>
      <c r="H10" s="28" t="n">
        <f aca="false">IF(OR(B10="",B10=0),"-",(B10-D10)/B10)</f>
        <v>0.312741312741313</v>
      </c>
      <c r="I10" s="27" t="n">
        <f aca="false">IF(OR(B10="",B10=0),"-",(B10-D10)+F10)</f>
        <v>33800</v>
      </c>
      <c r="J10" s="28" t="n">
        <f aca="false">IF(OR(B10="",C10="",C10=0),"-",B10/C10)</f>
        <v>1.036</v>
      </c>
      <c r="K10" s="28" t="n">
        <f aca="false">IF(OR(B10="",B9="",B9=0),"-",(B10-B9)/B9)</f>
        <v>0.0647482014388489</v>
      </c>
    </row>
    <row r="11" customFormat="false" ht="19.5" hidden="false" customHeight="true" outlineLevel="0" collapsed="false">
      <c r="A11" s="25" t="s">
        <v>45</v>
      </c>
      <c r="B11" s="26" t="n">
        <v>118400</v>
      </c>
      <c r="C11" s="26" t="n">
        <v>110000</v>
      </c>
      <c r="D11" s="26" t="n">
        <v>79800</v>
      </c>
      <c r="E11" s="26" t="n">
        <v>31200</v>
      </c>
      <c r="F11" s="26" t="n">
        <v>1400</v>
      </c>
      <c r="G11" s="27" t="n">
        <f aca="false">IF(OR(B11="",B11=0),"-",B11-D11)</f>
        <v>38600</v>
      </c>
      <c r="H11" s="28" t="n">
        <f aca="false">IF(OR(B11="",B11=0),"-",(B11-D11)/B11)</f>
        <v>0.326013513513514</v>
      </c>
      <c r="I11" s="27" t="n">
        <f aca="false">IF(OR(B11="",B11=0),"-",(B11-D11)+F11)</f>
        <v>40000</v>
      </c>
      <c r="J11" s="28" t="n">
        <f aca="false">IF(OR(B11="",C11="",C11=0),"-",B11/C11)</f>
        <v>1.07636363636364</v>
      </c>
      <c r="K11" s="28" t="n">
        <f aca="false">IF(OR(B11="",B10="",B10=0),"-",(B11-B10)/B10)</f>
        <v>0.142857142857143</v>
      </c>
    </row>
    <row r="12" customFormat="false" ht="19.5" hidden="false" customHeight="true" outlineLevel="0" collapsed="false">
      <c r="A12" s="25" t="s">
        <v>46</v>
      </c>
      <c r="B12" s="26" t="n">
        <v>94100</v>
      </c>
      <c r="C12" s="26" t="n">
        <v>95000</v>
      </c>
      <c r="D12" s="26" t="n">
        <v>68300</v>
      </c>
      <c r="E12" s="26" t="n">
        <v>20400</v>
      </c>
      <c r="F12" s="26" t="n">
        <v>1400</v>
      </c>
      <c r="G12" s="27" t="n">
        <f aca="false">IF(OR(B12="",B12=0),"-",B12-D12)</f>
        <v>25800</v>
      </c>
      <c r="H12" s="28" t="n">
        <f aca="false">IF(OR(B12="",B12=0),"-",(B12-D12)/B12)</f>
        <v>0.274176408076514</v>
      </c>
      <c r="I12" s="27" t="n">
        <f aca="false">IF(OR(B12="",B12=0),"-",(B12-D12)+F12)</f>
        <v>27200</v>
      </c>
      <c r="J12" s="28" t="n">
        <f aca="false">IF(OR(B12="",C12="",C12=0),"-",B12/C12)</f>
        <v>0.990526315789474</v>
      </c>
      <c r="K12" s="28" t="n">
        <f aca="false">IF(OR(B12="",B11="",B11=0),"-",(B12-B11)/B11)</f>
        <v>-0.205236486486486</v>
      </c>
    </row>
    <row r="13" customFormat="false" ht="19.5" hidden="false" customHeight="true" outlineLevel="0" collapsed="false">
      <c r="A13" s="25" t="s">
        <v>47</v>
      </c>
      <c r="B13" s="26" t="n">
        <v>88700</v>
      </c>
      <c r="C13" s="26" t="n">
        <v>90000</v>
      </c>
      <c r="D13" s="26" t="n">
        <v>64900</v>
      </c>
      <c r="E13" s="26" t="n">
        <v>19200</v>
      </c>
      <c r="F13" s="26" t="n">
        <v>1400</v>
      </c>
      <c r="G13" s="27" t="n">
        <f aca="false">IF(OR(B13="",B13=0),"-",B13-D13)</f>
        <v>23800</v>
      </c>
      <c r="H13" s="28" t="n">
        <f aca="false">IF(OR(B13="",B13=0),"-",(B13-D13)/B13)</f>
        <v>0.268320180383315</v>
      </c>
      <c r="I13" s="27" t="n">
        <f aca="false">IF(OR(B13="",B13=0),"-",(B13-D13)+F13)</f>
        <v>25200</v>
      </c>
      <c r="J13" s="28" t="n">
        <f aca="false">IF(OR(B13="",C13="",C13=0),"-",B13/C13)</f>
        <v>0.985555555555556</v>
      </c>
      <c r="K13" s="28" t="n">
        <f aca="false">IF(OR(B13="",B12="",B12=0),"-",(B13-B12)/B12)</f>
        <v>-0.0573857598299681</v>
      </c>
    </row>
    <row r="14" customFormat="false" ht="19.5" hidden="false" customHeight="true" outlineLevel="0" collapsed="false">
      <c r="A14" s="25" t="s">
        <v>48</v>
      </c>
      <c r="B14" s="26" t="n">
        <v>105200</v>
      </c>
      <c r="C14" s="26" t="n">
        <v>105000</v>
      </c>
      <c r="D14" s="26" t="n">
        <v>72100</v>
      </c>
      <c r="E14" s="26" t="n">
        <v>27600</v>
      </c>
      <c r="F14" s="26" t="n">
        <v>1400</v>
      </c>
      <c r="G14" s="27" t="n">
        <f aca="false">IF(OR(B14="",B14=0),"-",B14-D14)</f>
        <v>33100</v>
      </c>
      <c r="H14" s="28" t="n">
        <f aca="false">IF(OR(B14="",B14=0),"-",(B14-D14)/B14)</f>
        <v>0.314638783269962</v>
      </c>
      <c r="I14" s="27" t="n">
        <f aca="false">IF(OR(B14="",B14=0),"-",(B14-D14)+F14)</f>
        <v>34500</v>
      </c>
      <c r="J14" s="28" t="n">
        <f aca="false">IF(OR(B14="",C14="",C14=0),"-",B14/C14)</f>
        <v>1.00190476190476</v>
      </c>
      <c r="K14" s="28" t="n">
        <f aca="false">IF(OR(B14="",B13="",B13=0),"-",(B14-B13)/B13)</f>
        <v>0.186020293122886</v>
      </c>
    </row>
    <row r="15" customFormat="false" ht="19.5" hidden="false" customHeight="true" outlineLevel="0" collapsed="false">
      <c r="A15" s="25" t="s">
        <v>49</v>
      </c>
      <c r="B15" s="26" t="n">
        <v>112800</v>
      </c>
      <c r="C15" s="26" t="n">
        <v>110000</v>
      </c>
      <c r="D15" s="26" t="n">
        <v>76400</v>
      </c>
      <c r="E15" s="26" t="n">
        <v>30800</v>
      </c>
      <c r="F15" s="26" t="n">
        <v>1400</v>
      </c>
      <c r="G15" s="27" t="n">
        <f aca="false">IF(OR(B15="",B15=0),"-",B15-D15)</f>
        <v>36400</v>
      </c>
      <c r="H15" s="28" t="n">
        <f aca="false">IF(OR(B15="",B15=0),"-",(B15-D15)/B15)</f>
        <v>0.322695035460993</v>
      </c>
      <c r="I15" s="27" t="n">
        <f aca="false">IF(OR(B15="",B15=0),"-",(B15-D15)+F15)</f>
        <v>37800</v>
      </c>
      <c r="J15" s="28" t="n">
        <f aca="false">IF(OR(B15="",C15="",C15=0),"-",B15/C15)</f>
        <v>1.02545454545455</v>
      </c>
      <c r="K15" s="28" t="n">
        <f aca="false">IF(OR(B15="",B14="",B14=0),"-",(B15-B14)/B14)</f>
        <v>0.0722433460076046</v>
      </c>
    </row>
    <row r="16" customFormat="false" ht="19.5" hidden="false" customHeight="true" outlineLevel="0" collapsed="false">
      <c r="A16" s="25" t="s">
        <v>50</v>
      </c>
      <c r="B16" s="26" t="n">
        <v>119600</v>
      </c>
      <c r="C16" s="26" t="n">
        <v>115000</v>
      </c>
      <c r="D16" s="26" t="n">
        <v>80200</v>
      </c>
      <c r="E16" s="26" t="n">
        <v>33200</v>
      </c>
      <c r="F16" s="26" t="n">
        <v>1400</v>
      </c>
      <c r="G16" s="27" t="n">
        <f aca="false">IF(OR(B16="",B16=0),"-",B16-D16)</f>
        <v>39400</v>
      </c>
      <c r="H16" s="28" t="n">
        <f aca="false">IF(OR(B16="",B16=0),"-",(B16-D16)/B16)</f>
        <v>0.32943143812709</v>
      </c>
      <c r="I16" s="27" t="n">
        <f aca="false">IF(OR(B16="",B16=0),"-",(B16-D16)+F16)</f>
        <v>40800</v>
      </c>
      <c r="J16" s="28" t="n">
        <f aca="false">IF(OR(B16="",C16="",C16=0),"-",B16/C16)</f>
        <v>1.04</v>
      </c>
      <c r="K16" s="28" t="n">
        <f aca="false">IF(OR(B16="",B15="",B15=0),"-",(B16-B15)/B15)</f>
        <v>0.0602836879432624</v>
      </c>
    </row>
    <row r="17" customFormat="false" ht="19.5" hidden="false" customHeight="true" outlineLevel="0" collapsed="false">
      <c r="A17" s="25" t="s">
        <v>51</v>
      </c>
      <c r="B17" s="26"/>
      <c r="C17" s="26" t="n">
        <v>120000</v>
      </c>
      <c r="D17" s="26"/>
      <c r="E17" s="26"/>
      <c r="F17" s="26" t="n">
        <v>1400</v>
      </c>
      <c r="G17" s="27" t="str">
        <f aca="false">IF(OR(B17="",B17=0),"-",B17-D17)</f>
        <v>-</v>
      </c>
      <c r="H17" s="28" t="str">
        <f aca="false">IF(OR(B17="",B17=0),"-",(B17-D17)/B17)</f>
        <v>-</v>
      </c>
      <c r="I17" s="27" t="str">
        <f aca="false">IF(OR(B17="",B17=0),"-",(B17-D17)+F17)</f>
        <v>-</v>
      </c>
      <c r="J17" s="28" t="str">
        <f aca="false">IF(OR(B17="",C17="",C17=0),"-",B17/C17)</f>
        <v>-</v>
      </c>
      <c r="K17" s="28" t="str">
        <f aca="false">IF(OR(B17="",B16="",B16=0),"-",(B17-B16)/B16)</f>
        <v>-</v>
      </c>
    </row>
    <row r="18" customFormat="false" ht="24" hidden="false" customHeight="true" outlineLevel="0" collapsed="false">
      <c r="A18" s="29" t="s">
        <v>52</v>
      </c>
      <c r="B18" s="30" t="n">
        <f aca="false">SUM(B6:B17)</f>
        <v>1095100</v>
      </c>
      <c r="C18" s="30" t="n">
        <f aca="false">SUM(C6:C17)</f>
        <v>1203000</v>
      </c>
      <c r="D18" s="30" t="n">
        <f aca="false">SUM(D6:D17)</f>
        <v>762900</v>
      </c>
      <c r="E18" s="30" t="n">
        <f aca="false">SUM(E6:E17)</f>
        <v>270200</v>
      </c>
      <c r="F18" s="30" t="n">
        <f aca="false">SUM(F6:F17)</f>
        <v>16800</v>
      </c>
      <c r="G18" s="30" t="n">
        <f aca="false">IF(SUM(B6:B17)=0,"-",SUM(B6:B17)-SUM(D6:D17))</f>
        <v>332200</v>
      </c>
      <c r="H18" s="31" t="n">
        <f aca="false">IF(SUM(B6:B17)=0,"-",IFERROR(AVERAGE(H6:H17),"-"))</f>
        <v>0.300629442909638</v>
      </c>
      <c r="I18" s="30" t="n">
        <f aca="false">IF(SUM(B6:B17)=0,"-",SUM(I6:I17))</f>
        <v>347600</v>
      </c>
      <c r="J18" s="31" t="n">
        <f aca="false">IF(SUM(C6:C17)=0,"-",IFERROR(SUM(B6:B17)/SUM(C6:C17),"-"))</f>
        <v>0.910307564422278</v>
      </c>
      <c r="K18" s="31" t="s">
        <v>40</v>
      </c>
    </row>
    <row r="19" customFormat="false" ht="19.5" hidden="false" customHeight="true" outlineLevel="0" collapsed="false">
      <c r="A19" s="25" t="s">
        <v>39</v>
      </c>
      <c r="B19" s="26"/>
      <c r="C19" s="26"/>
      <c r="D19" s="26"/>
      <c r="E19" s="26"/>
      <c r="F19" s="26"/>
      <c r="G19" s="27" t="s">
        <v>53</v>
      </c>
      <c r="H19" s="27" t="s">
        <v>53</v>
      </c>
      <c r="I19" s="27" t="s">
        <v>53</v>
      </c>
      <c r="J19" s="27" t="s">
        <v>53</v>
      </c>
      <c r="K19" s="27" t="s">
        <v>53</v>
      </c>
    </row>
    <row r="20" customFormat="false" ht="19.5" hidden="false" customHeight="true" outlineLevel="0" collapsed="false">
      <c r="A20" s="25" t="s">
        <v>41</v>
      </c>
      <c r="B20" s="26"/>
      <c r="C20" s="26"/>
      <c r="D20" s="26"/>
      <c r="E20" s="26"/>
      <c r="F20" s="26"/>
      <c r="G20" s="27" t="s">
        <v>53</v>
      </c>
      <c r="H20" s="27" t="s">
        <v>53</v>
      </c>
      <c r="I20" s="27" t="s">
        <v>53</v>
      </c>
      <c r="J20" s="27" t="s">
        <v>53</v>
      </c>
      <c r="K20" s="27" t="s">
        <v>53</v>
      </c>
    </row>
    <row r="21" customFormat="false" ht="19.5" hidden="false" customHeight="true" outlineLevel="0" collapsed="false">
      <c r="A21" s="25" t="s">
        <v>42</v>
      </c>
      <c r="B21" s="26"/>
      <c r="C21" s="26"/>
      <c r="D21" s="26"/>
      <c r="E21" s="26"/>
      <c r="F21" s="26"/>
      <c r="G21" s="27" t="s">
        <v>53</v>
      </c>
      <c r="H21" s="27" t="s">
        <v>53</v>
      </c>
      <c r="I21" s="27" t="s">
        <v>53</v>
      </c>
      <c r="J21" s="27" t="s">
        <v>53</v>
      </c>
      <c r="K21" s="27" t="s">
        <v>53</v>
      </c>
    </row>
    <row r="22" customFormat="false" ht="19.5" hidden="false" customHeight="true" outlineLevel="0" collapsed="false">
      <c r="A22" s="25" t="s">
        <v>43</v>
      </c>
      <c r="B22" s="26"/>
      <c r="C22" s="26"/>
      <c r="D22" s="26"/>
      <c r="E22" s="26"/>
      <c r="F22" s="26"/>
      <c r="G22" s="27" t="s">
        <v>53</v>
      </c>
      <c r="H22" s="27" t="s">
        <v>53</v>
      </c>
      <c r="I22" s="27" t="s">
        <v>53</v>
      </c>
      <c r="J22" s="27" t="s">
        <v>53</v>
      </c>
      <c r="K22" s="27" t="s">
        <v>53</v>
      </c>
    </row>
    <row r="23" customFormat="false" ht="19.5" hidden="false" customHeight="true" outlineLevel="0" collapsed="false">
      <c r="A23" s="25" t="s">
        <v>44</v>
      </c>
      <c r="B23" s="26"/>
      <c r="C23" s="26"/>
      <c r="D23" s="26"/>
      <c r="E23" s="26"/>
      <c r="F23" s="26"/>
      <c r="G23" s="27" t="s">
        <v>53</v>
      </c>
      <c r="H23" s="27" t="s">
        <v>53</v>
      </c>
      <c r="I23" s="27" t="s">
        <v>53</v>
      </c>
      <c r="J23" s="27" t="s">
        <v>53</v>
      </c>
      <c r="K23" s="27" t="s">
        <v>53</v>
      </c>
    </row>
    <row r="24" customFormat="false" ht="19.5" hidden="false" customHeight="true" outlineLevel="0" collapsed="false">
      <c r="A24" s="25" t="s">
        <v>45</v>
      </c>
      <c r="B24" s="26"/>
      <c r="C24" s="26"/>
      <c r="D24" s="26"/>
      <c r="E24" s="26"/>
      <c r="F24" s="26"/>
      <c r="G24" s="27" t="s">
        <v>53</v>
      </c>
      <c r="H24" s="27" t="s">
        <v>53</v>
      </c>
      <c r="I24" s="27" t="s">
        <v>53</v>
      </c>
      <c r="J24" s="27" t="s">
        <v>53</v>
      </c>
      <c r="K24" s="27" t="s">
        <v>53</v>
      </c>
    </row>
    <row r="25" customFormat="false" ht="19.5" hidden="false" customHeight="true" outlineLevel="0" collapsed="false">
      <c r="A25" s="25" t="s">
        <v>46</v>
      </c>
      <c r="B25" s="26"/>
      <c r="C25" s="26"/>
      <c r="D25" s="26"/>
      <c r="E25" s="26"/>
      <c r="F25" s="26"/>
      <c r="G25" s="27" t="s">
        <v>53</v>
      </c>
      <c r="H25" s="27" t="s">
        <v>53</v>
      </c>
      <c r="I25" s="27" t="s">
        <v>53</v>
      </c>
      <c r="J25" s="27" t="s">
        <v>53</v>
      </c>
      <c r="K25" s="27" t="s">
        <v>53</v>
      </c>
    </row>
    <row r="26" customFormat="false" ht="19.5" hidden="false" customHeight="true" outlineLevel="0" collapsed="false">
      <c r="A26" s="25" t="s">
        <v>47</v>
      </c>
      <c r="B26" s="26"/>
      <c r="C26" s="26"/>
      <c r="D26" s="26"/>
      <c r="E26" s="26"/>
      <c r="F26" s="26"/>
      <c r="G26" s="27" t="s">
        <v>53</v>
      </c>
      <c r="H26" s="27" t="s">
        <v>53</v>
      </c>
      <c r="I26" s="27" t="s">
        <v>53</v>
      </c>
      <c r="J26" s="27" t="s">
        <v>53</v>
      </c>
      <c r="K26" s="27" t="s">
        <v>53</v>
      </c>
    </row>
    <row r="27" customFormat="false" ht="19.5" hidden="false" customHeight="true" outlineLevel="0" collapsed="false">
      <c r="A27" s="25" t="s">
        <v>48</v>
      </c>
      <c r="B27" s="26"/>
      <c r="C27" s="26"/>
      <c r="D27" s="26"/>
      <c r="E27" s="26"/>
      <c r="F27" s="26"/>
      <c r="G27" s="27" t="s">
        <v>53</v>
      </c>
      <c r="H27" s="27" t="s">
        <v>53</v>
      </c>
      <c r="I27" s="27" t="s">
        <v>53</v>
      </c>
      <c r="J27" s="27" t="s">
        <v>53</v>
      </c>
      <c r="K27" s="27" t="s">
        <v>53</v>
      </c>
    </row>
    <row r="28" customFormat="false" ht="19.5" hidden="false" customHeight="true" outlineLevel="0" collapsed="false">
      <c r="A28" s="25" t="s">
        <v>49</v>
      </c>
      <c r="B28" s="26"/>
      <c r="C28" s="26"/>
      <c r="D28" s="26"/>
      <c r="E28" s="26"/>
      <c r="F28" s="26"/>
      <c r="G28" s="27" t="s">
        <v>53</v>
      </c>
      <c r="H28" s="27" t="s">
        <v>53</v>
      </c>
      <c r="I28" s="27" t="s">
        <v>53</v>
      </c>
      <c r="J28" s="27" t="s">
        <v>53</v>
      </c>
      <c r="K28" s="27" t="s">
        <v>53</v>
      </c>
    </row>
    <row r="29" customFormat="false" ht="19.5" hidden="false" customHeight="true" outlineLevel="0" collapsed="false">
      <c r="A29" s="25" t="s">
        <v>50</v>
      </c>
      <c r="B29" s="26"/>
      <c r="C29" s="26"/>
      <c r="D29" s="26"/>
      <c r="E29" s="26"/>
      <c r="F29" s="26"/>
      <c r="G29" s="27" t="s">
        <v>53</v>
      </c>
      <c r="H29" s="27" t="s">
        <v>53</v>
      </c>
      <c r="I29" s="27" t="s">
        <v>53</v>
      </c>
      <c r="J29" s="27" t="s">
        <v>53</v>
      </c>
      <c r="K29" s="27" t="s">
        <v>53</v>
      </c>
    </row>
    <row r="30" customFormat="false" ht="19.5" hidden="false" customHeight="true" outlineLevel="0" collapsed="false">
      <c r="A30" s="25" t="s">
        <v>51</v>
      </c>
      <c r="B30" s="26"/>
      <c r="C30" s="26"/>
      <c r="D30" s="26"/>
      <c r="E30" s="26"/>
      <c r="F30" s="26"/>
      <c r="G30" s="27" t="s">
        <v>53</v>
      </c>
      <c r="H30" s="27" t="s">
        <v>53</v>
      </c>
      <c r="I30" s="27" t="s">
        <v>53</v>
      </c>
      <c r="J30" s="27" t="s">
        <v>53</v>
      </c>
      <c r="K30" s="27" t="s">
        <v>53</v>
      </c>
    </row>
  </sheetData>
  <mergeCells count="4">
    <mergeCell ref="A1:K1"/>
    <mergeCell ref="A2:K2"/>
    <mergeCell ref="B4:E4"/>
    <mergeCell ref="F4:K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32"/>
  </cols>
  <sheetData>
    <row r="1" customFormat="false" ht="37.5" hidden="false" customHeight="true" outlineLevel="0" collapsed="false">
      <c r="A1" s="32" t="s">
        <v>54</v>
      </c>
      <c r="B1" s="32"/>
      <c r="C1" s="32"/>
      <c r="D1" s="32"/>
      <c r="E1" s="32"/>
    </row>
    <row r="2" customFormat="false" ht="18" hidden="false" customHeight="true" outlineLevel="0" collapsed="false">
      <c r="A2" s="2" t="s">
        <v>55</v>
      </c>
      <c r="B2" s="2"/>
      <c r="C2" s="2"/>
      <c r="D2" s="2"/>
      <c r="E2" s="2"/>
    </row>
    <row r="3" customFormat="false" ht="7.5" hidden="false" customHeight="true" outlineLevel="0" collapsed="false"/>
    <row r="4" customFormat="false" ht="7.5" hidden="false" customHeight="true" outlineLevel="0" collapsed="false"/>
    <row r="5" customFormat="false" ht="27.75" hidden="false" customHeight="true" outlineLevel="0" collapsed="false">
      <c r="A5" s="21" t="s">
        <v>56</v>
      </c>
      <c r="B5" s="21" t="s">
        <v>57</v>
      </c>
      <c r="C5" s="24" t="s">
        <v>58</v>
      </c>
      <c r="D5" s="21" t="s">
        <v>30</v>
      </c>
      <c r="E5" s="24" t="s">
        <v>59</v>
      </c>
    </row>
    <row r="6" customFormat="false" ht="21.75" hidden="false" customHeight="true" outlineLevel="0" collapsed="false">
      <c r="A6" s="25" t="s">
        <v>60</v>
      </c>
      <c r="B6" s="26" t="n">
        <v>44200</v>
      </c>
      <c r="C6" s="28" t="n">
        <f aca="false">IFERROR(B6/SUM($B$6:$B$13),"-")</f>
        <v>0.533816425120773</v>
      </c>
      <c r="D6" s="26" t="n">
        <v>46000</v>
      </c>
      <c r="E6" s="33" t="s">
        <v>61</v>
      </c>
    </row>
    <row r="7" customFormat="false" ht="21.75" hidden="false" customHeight="true" outlineLevel="0" collapsed="false">
      <c r="A7" s="25" t="s">
        <v>62</v>
      </c>
      <c r="B7" s="26" t="n">
        <v>19300</v>
      </c>
      <c r="C7" s="28" t="n">
        <f aca="false">IFERROR(B7/SUM($B$6:$B$13),"-")</f>
        <v>0.233091787439614</v>
      </c>
      <c r="D7" s="26" t="n">
        <v>20000</v>
      </c>
      <c r="E7" s="33" t="s">
        <v>63</v>
      </c>
    </row>
    <row r="8" customFormat="false" ht="21.75" hidden="false" customHeight="true" outlineLevel="0" collapsed="false">
      <c r="A8" s="25" t="s">
        <v>64</v>
      </c>
      <c r="B8" s="26" t="n">
        <v>8100</v>
      </c>
      <c r="C8" s="28" t="n">
        <f aca="false">IFERROR(B8/SUM($B$6:$B$13),"-")</f>
        <v>0.0978260869565217</v>
      </c>
      <c r="D8" s="26" t="n">
        <v>8000</v>
      </c>
      <c r="E8" s="33" t="s">
        <v>65</v>
      </c>
    </row>
    <row r="9" customFormat="false" ht="21.75" hidden="false" customHeight="true" outlineLevel="0" collapsed="false">
      <c r="A9" s="25" t="s">
        <v>66</v>
      </c>
      <c r="B9" s="26" t="n">
        <v>4900</v>
      </c>
      <c r="C9" s="28" t="n">
        <f aca="false">IFERROR(B9/SUM($B$6:$B$13),"-")</f>
        <v>0.0591787439613527</v>
      </c>
      <c r="D9" s="26" t="n">
        <v>6000</v>
      </c>
      <c r="E9" s="33" t="s">
        <v>67</v>
      </c>
    </row>
    <row r="10" customFormat="false" ht="21.75" hidden="false" customHeight="true" outlineLevel="0" collapsed="false">
      <c r="A10" s="25" t="s">
        <v>68</v>
      </c>
      <c r="B10" s="26" t="n">
        <v>2800</v>
      </c>
      <c r="C10" s="28" t="n">
        <f aca="false">IFERROR(B10/SUM($B$6:$B$13),"-")</f>
        <v>0.0338164251207729</v>
      </c>
      <c r="D10" s="26" t="n">
        <v>3000</v>
      </c>
      <c r="E10" s="33" t="s">
        <v>69</v>
      </c>
    </row>
    <row r="11" customFormat="false" ht="21.75" hidden="false" customHeight="true" outlineLevel="0" collapsed="false">
      <c r="A11" s="25" t="s">
        <v>70</v>
      </c>
      <c r="B11" s="26" t="n">
        <v>1200</v>
      </c>
      <c r="C11" s="28" t="n">
        <f aca="false">IFERROR(B11/SUM($B$6:$B$13),"-")</f>
        <v>0.0144927536231884</v>
      </c>
      <c r="D11" s="26" t="n">
        <v>1500</v>
      </c>
      <c r="E11" s="33" t="s">
        <v>71</v>
      </c>
    </row>
    <row r="12" customFormat="false" ht="21.75" hidden="false" customHeight="true" outlineLevel="0" collapsed="false">
      <c r="A12" s="25" t="s">
        <v>72</v>
      </c>
      <c r="B12" s="26" t="n">
        <v>1400</v>
      </c>
      <c r="C12" s="28" t="n">
        <f aca="false">IFERROR(B12/SUM($B$6:$B$13),"-")</f>
        <v>0.0169082125603865</v>
      </c>
      <c r="D12" s="26" t="n">
        <v>1400</v>
      </c>
      <c r="E12" s="33" t="s">
        <v>73</v>
      </c>
    </row>
    <row r="13" customFormat="false" ht="21.75" hidden="false" customHeight="true" outlineLevel="0" collapsed="false">
      <c r="A13" s="25" t="s">
        <v>74</v>
      </c>
      <c r="B13" s="26" t="n">
        <v>900</v>
      </c>
      <c r="C13" s="28" t="n">
        <f aca="false">IFERROR(B13/SUM($B$6:$B$13),"-")</f>
        <v>0.0108695652173913</v>
      </c>
      <c r="D13" s="26" t="n">
        <v>1000</v>
      </c>
      <c r="E13" s="33" t="s">
        <v>75</v>
      </c>
    </row>
    <row r="14" customFormat="false" ht="21.75" hidden="false" customHeight="true" outlineLevel="0" collapsed="false">
      <c r="A14" s="34"/>
      <c r="B14" s="26"/>
      <c r="C14" s="28" t="n">
        <f aca="false">IFERROR(B14/SUM($B$6:$B$13),"-")</f>
        <v>0</v>
      </c>
      <c r="D14" s="26"/>
      <c r="E14" s="35"/>
    </row>
    <row r="15" customFormat="false" ht="21.75" hidden="false" customHeight="true" outlineLevel="0" collapsed="false">
      <c r="A15" s="34"/>
      <c r="B15" s="26"/>
      <c r="C15" s="28" t="n">
        <f aca="false">IFERROR(B15/SUM($B$6:$B$13),"-")</f>
        <v>0</v>
      </c>
      <c r="D15" s="26"/>
      <c r="E15" s="35"/>
    </row>
    <row r="16" customFormat="false" ht="21.75" hidden="false" customHeight="true" outlineLevel="0" collapsed="false">
      <c r="A16" s="34"/>
      <c r="B16" s="26"/>
      <c r="C16" s="28" t="n">
        <f aca="false">IFERROR(B16/SUM($B$6:$B$13),"-")</f>
        <v>0</v>
      </c>
      <c r="D16" s="26"/>
      <c r="E16" s="35"/>
    </row>
    <row r="17" customFormat="false" ht="21.75" hidden="false" customHeight="true" outlineLevel="0" collapsed="false">
      <c r="A17" s="34"/>
      <c r="B17" s="26"/>
      <c r="C17" s="28" t="n">
        <f aca="false">IFERROR(B17/SUM($B$6:$B$13),"-")</f>
        <v>0</v>
      </c>
      <c r="D17" s="26"/>
      <c r="E17" s="35"/>
    </row>
    <row r="18" customFormat="false" ht="21.75" hidden="false" customHeight="true" outlineLevel="0" collapsed="false">
      <c r="A18" s="34"/>
      <c r="B18" s="26"/>
      <c r="C18" s="28" t="n">
        <f aca="false">IFERROR(B18/SUM($B$6:$B$13),"-")</f>
        <v>0</v>
      </c>
      <c r="D18" s="26"/>
      <c r="E18" s="35"/>
    </row>
    <row r="20" customFormat="false" ht="24" hidden="false" customHeight="true" outlineLevel="0" collapsed="false">
      <c r="A20" s="36" t="s">
        <v>76</v>
      </c>
      <c r="B20" s="30" t="n">
        <f aca="false">SUM(B6:B19)</f>
        <v>82800</v>
      </c>
      <c r="C20" s="31" t="s">
        <v>77</v>
      </c>
      <c r="D20" s="30" t="n">
        <f aca="false">SUM(D6:D19)</f>
        <v>86900</v>
      </c>
      <c r="E20" s="37"/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8"/>
    <col collapsed="false" customWidth="true" hidden="false" outlineLevel="0" max="4" min="4" style="0" width="40"/>
  </cols>
  <sheetData>
    <row r="1" customFormat="false" ht="37.5" hidden="false" customHeight="true" outlineLevel="0" collapsed="false">
      <c r="A1" s="38" t="s">
        <v>78</v>
      </c>
      <c r="B1" s="38"/>
      <c r="C1" s="38"/>
      <c r="D1" s="38"/>
    </row>
    <row r="2" customFormat="false" ht="18" hidden="false" customHeight="true" outlineLevel="0" collapsed="false">
      <c r="A2" s="2" t="s">
        <v>79</v>
      </c>
      <c r="B2" s="2"/>
      <c r="C2" s="2"/>
      <c r="D2" s="2"/>
    </row>
    <row r="3" customFormat="false" ht="7.5" hidden="false" customHeight="true" outlineLevel="0" collapsed="false"/>
    <row r="4" customFormat="false" ht="27.75" hidden="false" customHeight="true" outlineLevel="0" collapsed="false">
      <c r="A4" s="23" t="s">
        <v>80</v>
      </c>
      <c r="B4" s="23" t="s">
        <v>81</v>
      </c>
      <c r="C4" s="24" t="s">
        <v>82</v>
      </c>
      <c r="D4" s="24" t="s">
        <v>59</v>
      </c>
    </row>
    <row r="5" customFormat="false" ht="21.75" hidden="false" customHeight="true" outlineLevel="0" collapsed="false">
      <c r="A5" s="39" t="s">
        <v>83</v>
      </c>
      <c r="B5" s="39"/>
      <c r="C5" s="39"/>
      <c r="D5" s="39"/>
    </row>
    <row r="6" customFormat="false" ht="21.75" hidden="false" customHeight="true" outlineLevel="0" collapsed="false">
      <c r="A6" s="40" t="s">
        <v>84</v>
      </c>
      <c r="B6" s="26" t="n">
        <v>48500</v>
      </c>
      <c r="C6" s="26" t="n">
        <v>42300</v>
      </c>
      <c r="D6" s="33" t="s">
        <v>85</v>
      </c>
    </row>
    <row r="7" customFormat="false" ht="21.75" hidden="false" customHeight="true" outlineLevel="0" collapsed="false">
      <c r="A7" s="40" t="s">
        <v>86</v>
      </c>
      <c r="B7" s="26" t="n">
        <v>32000</v>
      </c>
      <c r="C7" s="26" t="n">
        <v>28500</v>
      </c>
      <c r="D7" s="33" t="s">
        <v>87</v>
      </c>
    </row>
    <row r="8" customFormat="false" ht="21.75" hidden="false" customHeight="true" outlineLevel="0" collapsed="false">
      <c r="A8" s="40" t="s">
        <v>88</v>
      </c>
      <c r="B8" s="26" t="n">
        <v>15200</v>
      </c>
      <c r="C8" s="26" t="n">
        <v>17800</v>
      </c>
      <c r="D8" s="33" t="s">
        <v>89</v>
      </c>
    </row>
    <row r="9" customFormat="false" ht="21.75" hidden="false" customHeight="true" outlineLevel="0" collapsed="false">
      <c r="A9" s="40" t="s">
        <v>90</v>
      </c>
      <c r="B9" s="26" t="n">
        <v>4800</v>
      </c>
      <c r="C9" s="26" t="n">
        <v>3900</v>
      </c>
      <c r="D9" s="33" t="s">
        <v>91</v>
      </c>
    </row>
    <row r="10" customFormat="false" ht="21.75" hidden="false" customHeight="true" outlineLevel="0" collapsed="false">
      <c r="A10" s="39" t="s">
        <v>92</v>
      </c>
      <c r="B10" s="39"/>
      <c r="C10" s="39"/>
      <c r="D10" s="39"/>
    </row>
    <row r="11" customFormat="false" ht="21.75" hidden="false" customHeight="true" outlineLevel="0" collapsed="false">
      <c r="A11" s="40" t="s">
        <v>93</v>
      </c>
      <c r="B11" s="26" t="n">
        <v>22400</v>
      </c>
      <c r="C11" s="26" t="n">
        <v>19800</v>
      </c>
      <c r="D11" s="33" t="s">
        <v>94</v>
      </c>
    </row>
    <row r="12" customFormat="false" ht="21.75" hidden="false" customHeight="true" outlineLevel="0" collapsed="false">
      <c r="A12" s="40" t="s">
        <v>95</v>
      </c>
      <c r="B12" s="26" t="n">
        <v>8200</v>
      </c>
      <c r="C12" s="26" t="n">
        <v>7600</v>
      </c>
      <c r="D12" s="33" t="s">
        <v>96</v>
      </c>
    </row>
    <row r="13" customFormat="false" ht="21.75" hidden="false" customHeight="true" outlineLevel="0" collapsed="false">
      <c r="A13" s="40" t="s">
        <v>97</v>
      </c>
      <c r="B13" s="26" t="n">
        <v>3100</v>
      </c>
      <c r="C13" s="26" t="n">
        <v>2800</v>
      </c>
      <c r="D13" s="33" t="s">
        <v>98</v>
      </c>
    </row>
    <row r="14" customFormat="false" ht="21.75" hidden="false" customHeight="true" outlineLevel="0" collapsed="false">
      <c r="A14" s="39" t="s">
        <v>99</v>
      </c>
      <c r="B14" s="39"/>
      <c r="C14" s="39"/>
      <c r="D14" s="39"/>
    </row>
    <row r="15" customFormat="false" ht="21.75" hidden="false" customHeight="true" outlineLevel="0" collapsed="false">
      <c r="A15" s="40" t="s">
        <v>100</v>
      </c>
      <c r="B15" s="26" t="n">
        <v>1180000</v>
      </c>
      <c r="C15" s="26" t="n">
        <v>1050000</v>
      </c>
      <c r="D15" s="33" t="s">
        <v>101</v>
      </c>
    </row>
    <row r="16" customFormat="false" ht="21.75" hidden="false" customHeight="true" outlineLevel="0" collapsed="false">
      <c r="A16" s="40" t="s">
        <v>102</v>
      </c>
      <c r="B16" s="26" t="n">
        <v>30</v>
      </c>
      <c r="C16" s="26" t="n">
        <v>30</v>
      </c>
      <c r="D16" s="33" t="s">
        <v>103</v>
      </c>
    </row>
    <row r="17" customFormat="false" ht="21.75" hidden="false" customHeight="true" outlineLevel="0" collapsed="false">
      <c r="A17" s="40" t="s">
        <v>104</v>
      </c>
      <c r="B17" s="26" t="n">
        <v>45</v>
      </c>
      <c r="C17" s="26" t="n">
        <v>45</v>
      </c>
      <c r="D17" s="33" t="s">
        <v>105</v>
      </c>
    </row>
    <row r="18" customFormat="false" ht="7.5" hidden="false" customHeight="true" outlineLevel="0" collapsed="false"/>
    <row r="19" customFormat="false" ht="21.75" hidden="false" customHeight="true" outlineLevel="0" collapsed="false">
      <c r="A19" s="41" t="s">
        <v>106</v>
      </c>
      <c r="B19" s="41"/>
      <c r="C19" s="41"/>
      <c r="D19" s="41"/>
    </row>
    <row r="20" customFormat="false" ht="21.75" hidden="false" customHeight="true" outlineLevel="0" collapsed="false">
      <c r="A20" s="42" t="s">
        <v>107</v>
      </c>
      <c r="B20" s="43" t="n">
        <f aca="false">IFERROR((B6+B7+B8+B9)/(B11+B12+B13),"-")</f>
        <v>2.98219584569733</v>
      </c>
      <c r="C20" s="44"/>
      <c r="D20" s="33" t="s">
        <v>108</v>
      </c>
    </row>
    <row r="21" customFormat="false" ht="21.75" hidden="false" customHeight="true" outlineLevel="0" collapsed="false">
      <c r="A21" s="42" t="s">
        <v>109</v>
      </c>
      <c r="B21" s="43" t="n">
        <f aca="false">IFERROR((B6+B7)/(B11+B12+B13),"-")</f>
        <v>2.38872403560831</v>
      </c>
      <c r="C21" s="44"/>
      <c r="D21" s="33" t="s">
        <v>110</v>
      </c>
    </row>
    <row r="22" customFormat="false" ht="21.75" hidden="false" customHeight="true" outlineLevel="0" collapsed="false">
      <c r="A22" s="42" t="s">
        <v>111</v>
      </c>
      <c r="B22" s="45" t="n">
        <f aca="false">IFERROR(B6/(B15/365),"-")</f>
        <v>15.0021186440678</v>
      </c>
      <c r="C22" s="44"/>
      <c r="D22" s="33" t="s">
        <v>112</v>
      </c>
    </row>
    <row r="23" customFormat="false" ht="21.75" hidden="false" customHeight="true" outlineLevel="0" collapsed="false">
      <c r="A23" s="42" t="s">
        <v>113</v>
      </c>
      <c r="B23" s="45" t="n">
        <f aca="false">IFERROR(B11/(B15/365),"-")</f>
        <v>6.92881355932203</v>
      </c>
      <c r="C23" s="44"/>
      <c r="D23" s="33" t="s">
        <v>114</v>
      </c>
    </row>
    <row r="24" customFormat="false" ht="21.75" hidden="false" customHeight="true" outlineLevel="0" collapsed="false">
      <c r="A24" s="42" t="s">
        <v>115</v>
      </c>
      <c r="B24" s="46" t="n">
        <f aca="false">IFERROR((B6+B7+B8+B9)-(B11+B12+B13),"-")</f>
        <v>66800</v>
      </c>
      <c r="C24" s="44"/>
      <c r="D24" s="33" t="s">
        <v>116</v>
      </c>
    </row>
    <row r="25" customFormat="false" ht="21.75" hidden="false" customHeight="true" outlineLevel="0" collapsed="false">
      <c r="A25" s="42" t="s">
        <v>117</v>
      </c>
      <c r="B25" s="47" t="n">
        <f aca="false">IFERROR(B7/((B11+B12+B13)/3),"-")</f>
        <v>2.8486646884273</v>
      </c>
      <c r="C25" s="44"/>
      <c r="D25" s="33" t="s">
        <v>118</v>
      </c>
    </row>
  </sheetData>
  <mergeCells count="6">
    <mergeCell ref="A1:D1"/>
    <mergeCell ref="A2:D2"/>
    <mergeCell ref="A5:D5"/>
    <mergeCell ref="A10:D10"/>
    <mergeCell ref="A14:D14"/>
    <mergeCell ref="A19:D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3" min="3" style="0" width="44"/>
  </cols>
  <sheetData>
    <row r="1" customFormat="false" ht="37.5" hidden="false" customHeight="true" outlineLevel="0" collapsed="false">
      <c r="A1" s="48" t="s">
        <v>10</v>
      </c>
      <c r="B1" s="48"/>
    </row>
    <row r="2" customFormat="false" ht="18" hidden="false" customHeight="true" outlineLevel="0" collapsed="false">
      <c r="A2" s="2" t="s">
        <v>119</v>
      </c>
      <c r="B2" s="2"/>
    </row>
    <row r="3" customFormat="false" ht="7.5" hidden="false" customHeight="true" outlineLevel="0" collapsed="false"/>
    <row r="4" customFormat="false" ht="21.75" hidden="false" customHeight="true" outlineLevel="0" collapsed="false">
      <c r="B4" s="49" t="s">
        <v>120</v>
      </c>
      <c r="C4" s="49"/>
    </row>
    <row r="5" customFormat="false" ht="21.75" hidden="false" customHeight="true" outlineLevel="0" collapsed="false">
      <c r="B5" s="50" t="s">
        <v>121</v>
      </c>
      <c r="C5" s="51" t="s">
        <v>122</v>
      </c>
    </row>
    <row r="6" customFormat="false" ht="21.75" hidden="false" customHeight="true" outlineLevel="0" collapsed="false">
      <c r="B6" s="50" t="s">
        <v>123</v>
      </c>
      <c r="C6" s="51" t="s">
        <v>124</v>
      </c>
    </row>
    <row r="7" customFormat="false" ht="21.75" hidden="false" customHeight="true" outlineLevel="0" collapsed="false">
      <c r="B7" s="50" t="s">
        <v>125</v>
      </c>
      <c r="C7" s="51" t="s">
        <v>126</v>
      </c>
    </row>
    <row r="8" customFormat="false" ht="21.75" hidden="false" customHeight="true" outlineLevel="0" collapsed="false">
      <c r="B8" s="50" t="s">
        <v>127</v>
      </c>
      <c r="C8" s="51" t="s">
        <v>128</v>
      </c>
    </row>
    <row r="9" customFormat="false" ht="21.75" hidden="false" customHeight="true" outlineLevel="0" collapsed="false">
      <c r="B9" s="50" t="s">
        <v>129</v>
      </c>
      <c r="C9" s="51" t="s">
        <v>130</v>
      </c>
    </row>
    <row r="10" customFormat="false" ht="21.75" hidden="false" customHeight="true" outlineLevel="0" collapsed="false">
      <c r="B10" s="49" t="s">
        <v>131</v>
      </c>
      <c r="C10" s="49"/>
    </row>
    <row r="11" customFormat="false" ht="21.75" hidden="false" customHeight="true" outlineLevel="0" collapsed="false">
      <c r="B11" s="50" t="s">
        <v>132</v>
      </c>
      <c r="C11" s="51" t="s">
        <v>133</v>
      </c>
    </row>
    <row r="12" customFormat="false" ht="21.75" hidden="false" customHeight="true" outlineLevel="0" collapsed="false">
      <c r="B12" s="50" t="s">
        <v>134</v>
      </c>
      <c r="C12" s="51" t="s">
        <v>135</v>
      </c>
    </row>
    <row r="13" customFormat="false" ht="21.75" hidden="false" customHeight="true" outlineLevel="0" collapsed="false">
      <c r="B13" s="50" t="s">
        <v>136</v>
      </c>
      <c r="C13" s="51" t="s">
        <v>137</v>
      </c>
    </row>
    <row r="14" customFormat="false" ht="21.75" hidden="false" customHeight="true" outlineLevel="0" collapsed="false">
      <c r="B14" s="49" t="s">
        <v>138</v>
      </c>
      <c r="C14" s="49"/>
    </row>
    <row r="15" customFormat="false" ht="21.75" hidden="false" customHeight="true" outlineLevel="0" collapsed="false">
      <c r="B15" s="50" t="s">
        <v>139</v>
      </c>
      <c r="C15" s="51" t="s">
        <v>140</v>
      </c>
    </row>
    <row r="16" customFormat="false" ht="21.75" hidden="false" customHeight="true" outlineLevel="0" collapsed="false">
      <c r="B16" s="50" t="s">
        <v>141</v>
      </c>
      <c r="C16" s="51" t="s">
        <v>142</v>
      </c>
    </row>
    <row r="17" customFormat="false" ht="21.75" hidden="false" customHeight="true" outlineLevel="0" collapsed="false">
      <c r="B17" s="50" t="s">
        <v>143</v>
      </c>
      <c r="C17" s="51" t="s">
        <v>144</v>
      </c>
    </row>
    <row r="18" customFormat="false" ht="21.75" hidden="false" customHeight="true" outlineLevel="0" collapsed="false">
      <c r="B18" s="50" t="s">
        <v>145</v>
      </c>
      <c r="C18" s="51" t="s">
        <v>146</v>
      </c>
    </row>
  </sheetData>
  <mergeCells count="5">
    <mergeCell ref="A1:B1"/>
    <mergeCell ref="A2:B2"/>
    <mergeCell ref="B4:C4"/>
    <mergeCell ref="B10:C10"/>
    <mergeCell ref="B14:C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2026-05-15T10:31:07Z</dcterms:created>
  <dc:creator>openpyxl</dc:creator>
  <dc:description/>
  <dc:language>en-US</dc:language>
  <cp:lastModifiedBy/>
  <dcterms:modified xsi:type="dcterms:W3CDTF">2026-05-15T10:31:07Z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