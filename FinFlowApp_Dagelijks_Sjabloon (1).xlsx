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cties" sheetId="1" state="visible" r:id="rId1"/>
    <sheet xmlns:r="http://schemas.openxmlformats.org/officeDocument/2006/relationships" name="Dagdata" sheetId="2" state="visible" r:id="rId2"/>
    <sheet xmlns:r="http://schemas.openxmlformats.org/officeDocument/2006/relationships" name="Samenvatting" sheetId="3" state="visible" r:id="rId3"/>
    <sheet xmlns:r="http://schemas.openxmlformats.org/officeDocument/2006/relationships" name="Kostendata" sheetId="4" state="visible" r:id="rId4"/>
    <sheet xmlns:r="http://schemas.openxmlformats.org/officeDocument/2006/relationships" name="Bal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;[Red](€#,##0);&quot;-&quot;"/>
    <numFmt numFmtId="165" formatCode="0.0%;[Red]-0.0%;&quot;-&quot;"/>
  </numFmts>
  <fonts count="32">
    <font>
      <name val="Calibri"/>
      <family val="2"/>
      <color theme="1"/>
      <sz val="11"/>
      <scheme val="minor"/>
    </font>
    <font>
      <name val="Calibri"/>
      <b val="1"/>
      <color rgb="00E2E8F8"/>
      <sz val="9"/>
    </font>
    <font>
      <name val="Calibri"/>
      <b val="1"/>
      <color rgb="008892AA"/>
      <sz val="9"/>
    </font>
    <font>
      <name val="Calibri"/>
      <b val="1"/>
      <color rgb="00E2E8F8"/>
      <sz val="10"/>
    </font>
    <font>
      <name val="Calibri"/>
      <color rgb="001E3A8A"/>
      <sz val="10"/>
    </font>
    <font>
      <name val="Calibri"/>
      <color rgb="00166534"/>
      <sz val="10"/>
    </font>
    <font>
      <name val="Calibri"/>
      <b val="1"/>
      <color rgb="004F8EF7"/>
      <sz val="10"/>
    </font>
    <font>
      <name val="Calibri"/>
      <b val="1"/>
      <color rgb="0034D399"/>
      <sz val="10"/>
    </font>
    <font>
      <name val="Calibri"/>
      <color rgb="004A5368"/>
      <sz val="10"/>
    </font>
    <font>
      <name val="Calibri"/>
      <b val="1"/>
      <color rgb="00E2E8F8"/>
      <sz val="16"/>
    </font>
    <font>
      <name val="Calibri"/>
      <i val="1"/>
      <color rgb="004A5368"/>
      <sz val="9"/>
    </font>
    <font>
      <name val="Calibri"/>
      <b val="1"/>
      <color rgb="004A5368"/>
      <sz val="9"/>
    </font>
    <font>
      <name val="Calibri"/>
      <b val="1"/>
      <color rgb="004F8EF7"/>
      <sz val="18"/>
    </font>
    <font>
      <name val="Calibri"/>
      <b val="1"/>
      <color rgb="00FBBF24"/>
      <sz val="18"/>
    </font>
    <font>
      <name val="Calibri"/>
      <b val="1"/>
      <color rgb="0034D399"/>
      <sz val="18"/>
    </font>
    <font>
      <name val="Calibri"/>
      <b val="1"/>
      <color rgb="000EA5E9"/>
      <sz val="18"/>
    </font>
    <font>
      <name val="Calibri"/>
      <b val="1"/>
      <color rgb="007C4DFF"/>
      <sz val="18"/>
    </font>
    <font>
      <name val="Calibri"/>
      <i val="1"/>
      <color rgb="008892AA"/>
      <sz val="9"/>
    </font>
    <font>
      <name val="Calibri"/>
      <color rgb="00E2E8F8"/>
      <sz val="10"/>
    </font>
    <font>
      <name val="Calibri"/>
      <b val="1"/>
      <color rgb="00E2E8F8"/>
      <sz val="18"/>
    </font>
    <font>
      <name val="Calibri"/>
      <i val="1"/>
      <color rgb="008892AA"/>
      <sz val="10"/>
    </font>
    <font>
      <name val="Calibri"/>
      <color rgb="008892AA"/>
      <sz val="9"/>
    </font>
    <font>
      <name val="Calibri"/>
      <b val="1"/>
      <color rgb="000EA5E9"/>
      <sz val="10"/>
    </font>
    <font>
      <name val="Calibri"/>
      <b val="1"/>
      <color rgb="007C4DFF"/>
      <sz val="10"/>
    </font>
    <font>
      <name val="Calibri"/>
      <b val="1"/>
      <color rgb="001E3A8A"/>
      <sz val="10"/>
    </font>
    <font>
      <name val="Calibri"/>
      <b val="1"/>
      <color rgb="00166534"/>
      <sz val="10"/>
    </font>
    <font>
      <name val="Calibri"/>
      <b val="1"/>
      <color rgb="008892AA"/>
      <sz val="10"/>
    </font>
    <font>
      <name val="Calibri"/>
      <b val="1"/>
      <color rgb="004F8EF7"/>
      <sz val="9"/>
    </font>
    <font>
      <name val="Calibri"/>
      <b val="1"/>
      <color rgb="0034D399"/>
      <sz val="9"/>
    </font>
    <font>
      <name val="Calibri"/>
      <b val="1"/>
      <color rgb="00FBBF24"/>
      <sz val="9"/>
    </font>
    <font>
      <name val="Calibri"/>
      <b val="1"/>
      <color rgb="000EA5E9"/>
      <sz val="9"/>
    </font>
    <font>
      <name val="Calibri"/>
      <b val="1"/>
      <color rgb="00F87171"/>
      <sz val="9"/>
    </font>
  </fonts>
  <fills count="11">
    <fill>
      <patternFill/>
    </fill>
    <fill>
      <patternFill patternType="gray125"/>
    </fill>
    <fill>
      <patternFill patternType="solid">
        <fgColor rgb="001A1F2E"/>
      </patternFill>
    </fill>
    <fill>
      <patternFill patternType="solid">
        <fgColor rgb="004F8EF7"/>
      </patternFill>
    </fill>
    <fill>
      <patternFill patternType="solid">
        <fgColor rgb="0034D399"/>
      </patternFill>
    </fill>
    <fill>
      <patternFill patternType="solid">
        <fgColor rgb="00FBBF24"/>
      </patternFill>
    </fill>
    <fill>
      <patternFill patternType="solid">
        <fgColor rgb="000EA5E9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0D1117"/>
      </patternFill>
    </fill>
    <fill>
      <patternFill patternType="solid">
        <fgColor rgb="000F1318"/>
      </patternFill>
    </fill>
  </fills>
  <borders count="1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4F8EF7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medium">
        <color rgb="004F8EF7"/>
      </top>
      <bottom style="medium">
        <color rgb="004F8EF7"/>
      </bottom>
    </border>
    <border>
      <left style="thick">
        <color rgb="004F8EF7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ck">
        <color rgb="00FBBF24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ck">
        <color rgb="0034D399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ck">
        <color rgb="000EA5E9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ck">
        <color rgb="007C4DFF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medium">
        <color rgb="0034D399"/>
      </top>
      <bottom style="medium">
        <color rgb="0034D399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ck">
        <color rgb="00F87171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right" vertical="center"/>
    </xf>
    <xf numFmtId="164" fontId="5" fillId="8" borderId="2" applyAlignment="1" pivotButton="0" quotePrefix="0" xfId="0">
      <alignment horizontal="right" vertical="center"/>
    </xf>
    <xf numFmtId="165" fontId="5" fillId="8" borderId="2" applyAlignment="1" pivotButton="0" quotePrefix="0" xfId="0">
      <alignment horizontal="right" vertical="center"/>
    </xf>
    <xf numFmtId="0" fontId="6" fillId="2" borderId="3" applyAlignment="1" pivotButton="0" quotePrefix="0" xfId="0">
      <alignment horizontal="left" vertical="center" indent="1"/>
    </xf>
    <xf numFmtId="164" fontId="7" fillId="2" borderId="3" applyAlignment="1" pivotButton="0" quotePrefix="0" xfId="0">
      <alignment horizontal="right" vertical="center"/>
    </xf>
    <xf numFmtId="165" fontId="7" fillId="2" borderId="3" applyAlignment="1" pivotButton="0" quotePrefix="0" xfId="0">
      <alignment horizontal="right" vertical="center"/>
    </xf>
    <xf numFmtId="0" fontId="8" fillId="2" borderId="2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1" fillId="10" borderId="4" applyAlignment="1" pivotButton="0" quotePrefix="0" xfId="0">
      <alignment horizontal="left" vertical="top" wrapText="1" indent="2"/>
    </xf>
    <xf numFmtId="164" fontId="12" fillId="10" borderId="2" applyAlignment="1" pivotButton="0" quotePrefix="0" xfId="0">
      <alignment horizontal="right" vertical="center" indent="2"/>
    </xf>
    <xf numFmtId="0" fontId="11" fillId="10" borderId="5" applyAlignment="1" pivotButton="0" quotePrefix="0" xfId="0">
      <alignment horizontal="left" vertical="top" wrapText="1" indent="2"/>
    </xf>
    <xf numFmtId="164" fontId="13" fillId="10" borderId="2" applyAlignment="1" pivotButton="0" quotePrefix="0" xfId="0">
      <alignment horizontal="right" vertical="center" indent="2"/>
    </xf>
    <xf numFmtId="0" fontId="11" fillId="10" borderId="6" applyAlignment="1" pivotButton="0" quotePrefix="0" xfId="0">
      <alignment horizontal="left" vertical="top" wrapText="1" indent="2"/>
    </xf>
    <xf numFmtId="164" fontId="14" fillId="10" borderId="2" applyAlignment="1" pivotButton="0" quotePrefix="0" xfId="0">
      <alignment horizontal="right" vertical="center" indent="2"/>
    </xf>
    <xf numFmtId="165" fontId="14" fillId="10" borderId="2" applyAlignment="1" pivotButton="0" quotePrefix="0" xfId="0">
      <alignment horizontal="right" vertical="center" indent="2"/>
    </xf>
    <xf numFmtId="0" fontId="11" fillId="10" borderId="7" applyAlignment="1" pivotButton="0" quotePrefix="0" xfId="0">
      <alignment horizontal="left" vertical="top" wrapText="1" indent="2"/>
    </xf>
    <xf numFmtId="164" fontId="15" fillId="10" borderId="2" applyAlignment="1" pivotButton="0" quotePrefix="0" xfId="0">
      <alignment horizontal="right" vertical="center" indent="2"/>
    </xf>
    <xf numFmtId="0" fontId="11" fillId="10" borderId="8" applyAlignment="1" pivotButton="0" quotePrefix="0" xfId="0">
      <alignment horizontal="left" vertical="top" wrapText="1" indent="2"/>
    </xf>
    <xf numFmtId="165" fontId="16" fillId="10" borderId="2" applyAlignment="1" pivotButton="0" quotePrefix="0" xfId="0">
      <alignment horizontal="right" vertical="center" indent="2"/>
    </xf>
    <xf numFmtId="0" fontId="3" fillId="2" borderId="2" applyAlignment="1" pivotButton="0" quotePrefix="0" xfId="0">
      <alignment horizontal="left" vertical="center" indent="1"/>
    </xf>
    <xf numFmtId="0" fontId="17" fillId="10" borderId="2" applyAlignment="1" pivotButton="0" quotePrefix="0" xfId="0">
      <alignment horizontal="left" vertical="center" indent="1"/>
    </xf>
    <xf numFmtId="0" fontId="0" fillId="2" borderId="2" pivotButton="0" quotePrefix="0" xfId="0"/>
    <xf numFmtId="0" fontId="0" fillId="10" borderId="2" pivotButton="0" quotePrefix="0" xfId="0"/>
    <xf numFmtId="0" fontId="7" fillId="2" borderId="9" applyAlignment="1" pivotButton="0" quotePrefix="0" xfId="0">
      <alignment horizontal="left" vertical="center" indent="1"/>
    </xf>
    <xf numFmtId="164" fontId="7" fillId="2" borderId="9" applyAlignment="1" pivotButton="0" quotePrefix="0" xfId="0">
      <alignment horizontal="right" vertical="center"/>
    </xf>
    <xf numFmtId="165" fontId="7" fillId="2" borderId="9" applyAlignment="1" pivotButton="0" quotePrefix="0" xfId="0">
      <alignment horizontal="right" vertical="center"/>
    </xf>
    <xf numFmtId="0" fontId="1" fillId="6" borderId="2" applyAlignment="1" pivotButton="0" quotePrefix="0" xfId="0">
      <alignment horizontal="left" vertical="center"/>
    </xf>
    <xf numFmtId="0" fontId="18" fillId="2" borderId="2" applyAlignment="1" pivotButton="0" quotePrefix="0" xfId="0">
      <alignment horizontal="left" vertical="center" indent="2"/>
    </xf>
    <xf numFmtId="0" fontId="19" fillId="3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10" borderId="4" applyAlignment="1" pivotButton="0" quotePrefix="0" xfId="0">
      <alignment horizontal="left" vertical="top" indent="1"/>
    </xf>
    <xf numFmtId="0" fontId="21" fillId="10" borderId="2" applyAlignment="1" pivotButton="0" quotePrefix="0" xfId="0">
      <alignment horizontal="left" vertical="center" wrapText="1" indent="1"/>
    </xf>
    <xf numFmtId="0" fontId="22" fillId="10" borderId="7" applyAlignment="1" pivotButton="0" quotePrefix="0" xfId="0">
      <alignment horizontal="left" vertical="top" indent="1"/>
    </xf>
    <xf numFmtId="0" fontId="23" fillId="10" borderId="8" applyAlignment="1" pivotButton="0" quotePrefix="0" xfId="0">
      <alignment horizontal="left" vertical="top" indent="1"/>
    </xf>
    <xf numFmtId="0" fontId="7" fillId="10" borderId="6" applyAlignment="1" pivotButton="0" quotePrefix="0" xfId="0">
      <alignment horizontal="left" vertical="top" indent="1"/>
    </xf>
    <xf numFmtId="0" fontId="24" fillId="7" borderId="2" applyAlignment="1" pivotButton="0" quotePrefix="0" xfId="0">
      <alignment horizontal="left" vertical="center"/>
    </xf>
    <xf numFmtId="0" fontId="21" fillId="10" borderId="2" applyAlignment="1" pivotButton="0" quotePrefix="0" xfId="0">
      <alignment horizontal="left" vertical="center" indent="1"/>
    </xf>
    <xf numFmtId="0" fontId="25" fillId="8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26" fillId="9" borderId="2" applyAlignment="1" pivotButton="0" quotePrefix="0" xfId="0">
      <alignment horizontal="left" vertical="center"/>
    </xf>
    <xf numFmtId="0" fontId="27" fillId="10" borderId="2" applyAlignment="1" pivotButton="0" quotePrefix="0" xfId="0">
      <alignment horizontal="left" vertical="center"/>
    </xf>
    <xf numFmtId="0" fontId="28" fillId="10" borderId="2" applyAlignment="1" pivotButton="0" quotePrefix="0" xfId="0">
      <alignment horizontal="left" vertical="center"/>
    </xf>
    <xf numFmtId="0" fontId="29" fillId="10" borderId="2" applyAlignment="1" pivotButton="0" quotePrefix="0" xfId="0">
      <alignment horizontal="left" vertical="center"/>
    </xf>
    <xf numFmtId="0" fontId="30" fillId="10" borderId="2" applyAlignment="1" pivotButton="0" quotePrefix="0" xfId="0">
      <alignment horizontal="left" vertical="center"/>
    </xf>
    <xf numFmtId="0" fontId="2" fillId="10" borderId="2" applyAlignment="1" pivotButton="0" quotePrefix="0" xfId="0">
      <alignment horizontal="left" vertical="center"/>
    </xf>
    <xf numFmtId="0" fontId="28" fillId="10" borderId="6" applyAlignment="1" pivotButton="0" quotePrefix="0" xfId="0">
      <alignment horizontal="left" vertical="top" indent="1"/>
    </xf>
    <xf numFmtId="0" fontId="29" fillId="10" borderId="5" applyAlignment="1" pivotButton="0" quotePrefix="0" xfId="0">
      <alignment horizontal="left" vertical="top" indent="1"/>
    </xf>
    <xf numFmtId="0" fontId="31" fillId="10" borderId="14" applyAlignment="1" pivotButton="0" quotePrefix="0" xfId="0">
      <alignment horizontal="left" vertical="top" indent="1"/>
    </xf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5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2" customWidth="1" min="3" max="3"/>
    <col width="3" customWidth="1" min="4" max="4"/>
  </cols>
  <sheetData>
    <row r="1" ht="50" customHeight="1">
      <c r="B1" s="37" t="inlineStr">
        <is>
          <t xml:space="preserve">  FinFlowApp — Dagelijks Upload Sjabloon</t>
        </is>
      </c>
    </row>
    <row r="2" ht="22" customHeight="1">
      <c r="B2" s="38" t="inlineStr">
        <is>
          <t xml:space="preserve">  Professioneel financieel dashboard voor dagelijkse rapportage · finflowapp.ai</t>
        </is>
      </c>
    </row>
    <row r="3" ht="10" customHeight="1"/>
    <row r="4" ht="26" customHeight="1">
      <c r="B4" s="39" t="inlineStr">
        <is>
          <t xml:space="preserve">  HOE WERKT HET?</t>
        </is>
      </c>
    </row>
    <row r="5" ht="40" customHeight="1">
      <c r="B5" s="40" t="inlineStr">
        <is>
          <t xml:space="preserve">  Stap 1 — Vul de Dagdata sheet in</t>
        </is>
      </c>
      <c r="C5" s="41" t="inlineStr">
        <is>
          <t>Voer dagelijks je omzet, kosten en cashflow in. Blauwe cellen zijn invoervelden.</t>
        </is>
      </c>
    </row>
    <row r="6" ht="40" customHeight="1">
      <c r="B6" s="42" t="inlineStr">
        <is>
          <t xml:space="preserve">  Stap 2 — Vul Kostendata in (optioneel)</t>
        </is>
      </c>
      <c r="C6" s="41" t="inlineStr">
        <is>
          <t>Splits je kosten uit per categorie voor de kostenverdeling in het dashboard.</t>
        </is>
      </c>
    </row>
    <row r="7" ht="40" customHeight="1">
      <c r="B7" s="43" t="inlineStr">
        <is>
          <t xml:space="preserve">  Stap 3 — Vul Balans in (optioneel)</t>
        </is>
      </c>
      <c r="C7" s="41" t="inlineStr">
        <is>
          <t>Voer je debiteuren, crediteuren en kasstand in voor liquiditeitsanalyse.</t>
        </is>
      </c>
    </row>
    <row r="8" ht="40" customHeight="1">
      <c r="B8" s="44" t="inlineStr">
        <is>
          <t xml:space="preserve">  Stap 4 — Upload naar FinFlowApp</t>
        </is>
      </c>
      <c r="C8" s="41" t="inlineStr">
        <is>
          <t>Sleep dit bestand naar het dashboard op finflowapp.ai/dashboard. Alles wordt lokaal verwerkt.</t>
        </is>
      </c>
    </row>
    <row r="9" ht="10" customHeight="1"/>
    <row r="10" ht="26" customHeight="1">
      <c r="B10" s="39" t="inlineStr">
        <is>
          <t xml:space="preserve">  KLEURLEGENDA</t>
        </is>
      </c>
    </row>
    <row r="11" ht="22" customHeight="1">
      <c r="B11" s="45" t="inlineStr">
        <is>
          <t xml:space="preserve">  🔵 Blauw</t>
        </is>
      </c>
      <c r="C11" s="46" t="inlineStr">
        <is>
          <t>Invoercel — vul hier jouw eigen cijfers in</t>
        </is>
      </c>
    </row>
    <row r="12" ht="22" customHeight="1">
      <c r="B12" s="47" t="inlineStr">
        <is>
          <t xml:space="preserve">  🟢 Groen</t>
        </is>
      </c>
      <c r="C12" s="46" t="inlineStr">
        <is>
          <t>Automatisch berekend — NIET aanpassen</t>
        </is>
      </c>
    </row>
    <row r="13" ht="22" customHeight="1">
      <c r="B13" s="48" t="inlineStr">
        <is>
          <t xml:space="preserve">  ⚫ Donker</t>
        </is>
      </c>
      <c r="C13" s="46" t="inlineStr">
        <is>
          <t>Label of header — NIET aanpassen</t>
        </is>
      </c>
    </row>
    <row r="14" ht="22" customHeight="1">
      <c r="B14" s="49" t="inlineStr">
        <is>
          <t xml:space="preserve">  ⚪ Grijs</t>
        </is>
      </c>
      <c r="C14" s="46" t="inlineStr">
        <is>
          <t>Toelichting of extra info</t>
        </is>
      </c>
    </row>
    <row r="15" ht="10" customHeight="1"/>
    <row r="16" ht="26" customHeight="1">
      <c r="B16" s="39" t="inlineStr">
        <is>
          <t xml:space="preserve">  DAGDATA — KOLOM UITLEG</t>
        </is>
      </c>
    </row>
    <row r="17" ht="28" customHeight="1">
      <c r="B17" s="50" t="inlineStr">
        <is>
          <t xml:space="preserve">  Datum  ← INVOER</t>
        </is>
      </c>
      <c r="C17" s="41" t="inlineStr">
        <is>
          <t>Formaat: DD-MM-YYYY (bijv. 15-05-2026). Weekenden automatisch lager.</t>
        </is>
      </c>
    </row>
    <row r="18" ht="28" customHeight="1">
      <c r="B18" s="50" t="inlineStr">
        <is>
          <t xml:space="preserve">  Omzet  ← INVOER</t>
        </is>
      </c>
      <c r="C18" s="41" t="inlineStr">
        <is>
          <t>Totale dagomzet in €. Exclusief BTW. Laat leeg als er geen omzet is.</t>
        </is>
      </c>
    </row>
    <row r="19" ht="28" customHeight="1">
      <c r="B19" s="51" t="inlineStr">
        <is>
          <t xml:space="preserve">  Budget  ← INVOER</t>
        </is>
      </c>
      <c r="C19" s="41" t="inlineStr">
        <is>
          <t>Dagelijks omzetdoel in €. Basis voor budget-realisatie berekening.</t>
        </is>
      </c>
    </row>
    <row r="20" ht="28" customHeight="1">
      <c r="B20" s="52" t="inlineStr">
        <is>
          <t xml:space="preserve">  Kosten  ← INVOER</t>
        </is>
      </c>
      <c r="C20" s="41" t="inlineStr">
        <is>
          <t>Totale dagkosten in €. Inclusief alle variabele kosten.</t>
        </is>
      </c>
    </row>
    <row r="21" ht="28" customHeight="1">
      <c r="B21" s="53" t="inlineStr">
        <is>
          <t xml:space="preserve">  Cashflow  ← INVOER</t>
        </is>
      </c>
      <c r="C21" s="41" t="inlineStr">
        <is>
          <t>Daadwerkelijke kasstroom in €. Niet de winst — maar het kasgeld.</t>
        </is>
      </c>
    </row>
    <row r="22" ht="28" customHeight="1">
      <c r="B22" s="54" t="inlineStr">
        <is>
          <t xml:space="preserve">  Bruto Marge  ← AUTO</t>
        </is>
      </c>
      <c r="C22" s="41" t="inlineStr">
        <is>
          <t>Omzet minus Kosten. Automatisch berekend.</t>
        </is>
      </c>
    </row>
    <row r="23" ht="28" customHeight="1">
      <c r="B23" s="54" t="inlineStr">
        <is>
          <t xml:space="preserve">  Marge %  ← AUTO</t>
        </is>
      </c>
      <c r="C23" s="41" t="inlineStr">
        <is>
          <t>Bruto marge als percentage van de omzet. Doel: &gt; 30%.</t>
        </is>
      </c>
    </row>
    <row r="24" ht="28" customHeight="1">
      <c r="B24" s="54" t="inlineStr">
        <is>
          <t xml:space="preserve">  vs Budget  ← AUTO</t>
        </is>
      </c>
      <c r="C24" s="41" t="inlineStr">
        <is>
          <t>Werkelijke omzet gedeeld door budget. 100% = op target.</t>
        </is>
      </c>
    </row>
    <row r="25" ht="28" customHeight="1">
      <c r="B25" s="54" t="inlineStr">
        <is>
          <t xml:space="preserve">  Δ Omzet  ← AUTO</t>
        </is>
      </c>
      <c r="C25" s="41" t="inlineStr">
        <is>
          <t>Procentuele verandering ten opzichte van de vorige dag.</t>
        </is>
      </c>
    </row>
    <row r="26" ht="10" customHeight="1"/>
    <row r="27" ht="26" customHeight="1">
      <c r="B27" s="39" t="inlineStr">
        <is>
          <t xml:space="preserve">  TIPS &amp; VEELGESTELDE VRAGEN</t>
        </is>
      </c>
    </row>
    <row r="28" ht="36" customHeight="1">
      <c r="B28" s="55" t="inlineStr">
        <is>
          <t xml:space="preserve">  ✓  Dagelijks bijwerken</t>
        </is>
      </c>
      <c r="C28" s="41" t="inlineStr">
        <is>
          <t>Voeg elke dag de nieuwe omzet en kosten toe. Het dashboard aggregeert automatisch naar maanden.</t>
        </is>
      </c>
    </row>
    <row r="29" ht="36" customHeight="1">
      <c r="B29" s="55" t="inlineStr">
        <is>
          <t xml:space="preserve">  ✓  Weekenden leeglaten</t>
        </is>
      </c>
      <c r="C29" s="41" t="inlineStr">
        <is>
          <t>Als er geen omzet is op een dag, laat de cel dan leeg. Lege rijen worden overgeslagen.</t>
        </is>
      </c>
    </row>
    <row r="30" ht="36" customHeight="1">
      <c r="B30" s="55" t="inlineStr">
        <is>
          <t xml:space="preserve">  ✓  Export vanuit je boekhouding</t>
        </is>
      </c>
      <c r="C30" s="41" t="inlineStr">
        <is>
          <t>Exporteer dagcijfers uit Exact, Twinfield of Moneybird naar Excel en plak de waarden in kolom B t/m E.</t>
        </is>
      </c>
    </row>
    <row r="31" ht="36" customHeight="1">
      <c r="B31" s="56" t="inlineStr">
        <is>
          <t xml:space="preserve">  !  Geen formules in blauwe cellen</t>
        </is>
      </c>
      <c r="C31" s="41" t="inlineStr">
        <is>
          <t>Vul alleen getallen in — geen €-teken, geen punten als duizendscheiding (bijv. 4200 niet 4.200).</t>
        </is>
      </c>
    </row>
    <row r="32" ht="36" customHeight="1">
      <c r="B32" s="56" t="inlineStr">
        <is>
          <t xml:space="preserve">  !  Datum altijd als tekst</t>
        </is>
      </c>
      <c r="C32" s="41" t="inlineStr">
        <is>
          <t>Datum formaat is DD-MM-YYYY als tekst (bijv. 15-05-2026). Zorg dat Excel het niet als datum herkent.</t>
        </is>
      </c>
    </row>
    <row r="33" ht="36" customHeight="1">
      <c r="B33" s="57" t="inlineStr">
        <is>
          <t xml:space="preserve">  ✗  Rijen en kolommen NIET verschuiven</t>
        </is>
      </c>
      <c r="C33" s="41" t="inlineStr">
        <is>
          <t>Voeg geen rijen in tussen de data. Voeg nieuwe data toe onderaan de bestaande rijen.</t>
        </is>
      </c>
    </row>
    <row r="34" ht="10" customHeight="1"/>
    <row r="35" ht="28" customHeight="1">
      <c r="B35" s="16" t="inlineStr">
        <is>
          <t xml:space="preserve">  FinFlowApp · finflowapp.ai · info@finflowapp.ai · Vragen? Stuur ons een bericht.</t>
        </is>
      </c>
    </row>
  </sheetData>
  <mergeCells count="7">
    <mergeCell ref="B2:C2"/>
    <mergeCell ref="B16:C16"/>
    <mergeCell ref="B10:C10"/>
    <mergeCell ref="B27:C27"/>
    <mergeCell ref="B1:C1"/>
    <mergeCell ref="B35:C3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2" customWidth="1" min="7" max="7"/>
    <col width="13" customWidth="1" min="8" max="8"/>
    <col width="12" customWidth="1" min="9" max="9"/>
  </cols>
  <sheetData>
    <row r="1" ht="32" customHeight="1">
      <c r="A1" s="1" t="inlineStr">
        <is>
          <t>Datum</t>
        </is>
      </c>
      <c r="B1" s="2" t="inlineStr">
        <is>
          <t>Omzet</t>
        </is>
      </c>
      <c r="C1" s="3" t="inlineStr">
        <is>
          <t>Budget</t>
        </is>
      </c>
      <c r="D1" s="4" t="inlineStr">
        <is>
          <t>Kosten</t>
        </is>
      </c>
      <c r="E1" s="5" t="inlineStr">
        <is>
          <t>Cashflow</t>
        </is>
      </c>
      <c r="F1" s="6" t="inlineStr">
        <is>
          <t>Bruto Marge</t>
        </is>
      </c>
      <c r="G1" s="6" t="inlineStr">
        <is>
          <t>Marge %</t>
        </is>
      </c>
      <c r="H1" s="6" t="inlineStr">
        <is>
          <t>vs Budget</t>
        </is>
      </c>
      <c r="I1" s="6" t="inlineStr">
        <is>
          <t>Δ Omzet</t>
        </is>
      </c>
    </row>
    <row r="2" ht="18" customHeight="1">
      <c r="A2" s="7" t="inlineStr">
        <is>
          <t>15-02-2026</t>
        </is>
      </c>
      <c r="B2" s="8" t="n">
        <v>734</v>
      </c>
      <c r="C2" s="8" t="n">
        <v>1260</v>
      </c>
      <c r="D2" s="8" t="n">
        <v>526</v>
      </c>
      <c r="E2" s="8" t="n">
        <v>165</v>
      </c>
      <c r="F2" s="9">
        <f>IF(B2=0,"-",B2-D2)</f>
        <v/>
      </c>
      <c r="G2" s="10">
        <f>IF(B2=0,"-",(B2-D2)/B2)</f>
        <v/>
      </c>
      <c r="H2" s="10">
        <f>IF(OR(B2=0,C2=0),"-",B2/C2)</f>
        <v/>
      </c>
      <c r="I2" s="10" t="inlineStr">
        <is>
          <t>"-"</t>
        </is>
      </c>
    </row>
    <row r="3" ht="18" customHeight="1">
      <c r="A3" s="7" t="inlineStr">
        <is>
          <t>16-02-2026</t>
        </is>
      </c>
      <c r="B3" s="8" t="n">
        <v>3659</v>
      </c>
      <c r="C3" s="8" t="n">
        <v>4410</v>
      </c>
      <c r="D3" s="8" t="n">
        <v>2196</v>
      </c>
      <c r="E3" s="8" t="n">
        <v>1378</v>
      </c>
      <c r="F3" s="9">
        <f>IF(B3=0,"-",B3-D3)</f>
        <v/>
      </c>
      <c r="G3" s="10">
        <f>IF(B3=0,"-",(B3-D3)/B3)</f>
        <v/>
      </c>
      <c r="H3" s="10">
        <f>IF(OR(B3=0,C3=0),"-",B3/C3)</f>
        <v/>
      </c>
      <c r="I3" s="10">
        <f>IF(OR(B3=0,B2=0),"-",(B3-B2)/B2)</f>
        <v/>
      </c>
    </row>
    <row r="4" ht="18" customHeight="1">
      <c r="A4" s="7" t="inlineStr">
        <is>
          <t>17-02-2026</t>
        </is>
      </c>
      <c r="B4" s="8" t="n">
        <v>4825</v>
      </c>
      <c r="C4" s="8" t="n">
        <v>4410</v>
      </c>
      <c r="D4" s="8" t="n">
        <v>2952</v>
      </c>
      <c r="E4" s="8" t="n">
        <v>1443</v>
      </c>
      <c r="F4" s="9">
        <f>IF(B4=0,"-",B4-D4)</f>
        <v/>
      </c>
      <c r="G4" s="10">
        <f>IF(B4=0,"-",(B4-D4)/B4)</f>
        <v/>
      </c>
      <c r="H4" s="10">
        <f>IF(OR(B4=0,C4=0),"-",B4/C4)</f>
        <v/>
      </c>
      <c r="I4" s="10">
        <f>IF(OR(B4=0,B3=0),"-",(B4-B3)/B3)</f>
        <v/>
      </c>
    </row>
    <row r="5" ht="18" customHeight="1">
      <c r="A5" s="7" t="inlineStr">
        <is>
          <t>18-02-2026</t>
        </is>
      </c>
      <c r="B5" s="8" t="n">
        <v>3277</v>
      </c>
      <c r="C5" s="8" t="n">
        <v>4410</v>
      </c>
      <c r="D5" s="8" t="n">
        <v>2419</v>
      </c>
      <c r="E5" s="8" t="n">
        <v>810</v>
      </c>
      <c r="F5" s="9">
        <f>IF(B5=0,"-",B5-D5)</f>
        <v/>
      </c>
      <c r="G5" s="10">
        <f>IF(B5=0,"-",(B5-D5)/B5)</f>
        <v/>
      </c>
      <c r="H5" s="10">
        <f>IF(OR(B5=0,C5=0),"-",B5/C5)</f>
        <v/>
      </c>
      <c r="I5" s="10">
        <f>IF(OR(B5=0,B4=0),"-",(B5-B4)/B4)</f>
        <v/>
      </c>
    </row>
    <row r="6" ht="18" customHeight="1">
      <c r="A6" s="7" t="inlineStr">
        <is>
          <t>19-02-2026</t>
        </is>
      </c>
      <c r="B6" s="8" t="n">
        <v>3442</v>
      </c>
      <c r="C6" s="8" t="n">
        <v>4410</v>
      </c>
      <c r="D6" s="8" t="n">
        <v>2096</v>
      </c>
      <c r="E6" s="8" t="n">
        <v>886</v>
      </c>
      <c r="F6" s="9">
        <f>IF(B6=0,"-",B6-D6)</f>
        <v/>
      </c>
      <c r="G6" s="10">
        <f>IF(B6=0,"-",(B6-D6)/B6)</f>
        <v/>
      </c>
      <c r="H6" s="10">
        <f>IF(OR(B6=0,C6=0),"-",B6/C6)</f>
        <v/>
      </c>
      <c r="I6" s="10">
        <f>IF(OR(B6=0,B5=0),"-",(B6-B5)/B5)</f>
        <v/>
      </c>
    </row>
    <row r="7" ht="18" customHeight="1">
      <c r="A7" s="7" t="inlineStr">
        <is>
          <t>20-02-2026</t>
        </is>
      </c>
      <c r="B7" s="8" t="n">
        <v>4650</v>
      </c>
      <c r="C7" s="8" t="n">
        <v>4410</v>
      </c>
      <c r="D7" s="8" t="n">
        <v>3442</v>
      </c>
      <c r="E7" s="8" t="n">
        <v>856</v>
      </c>
      <c r="F7" s="9">
        <f>IF(B7=0,"-",B7-D7)</f>
        <v/>
      </c>
      <c r="G7" s="10">
        <f>IF(B7=0,"-",(B7-D7)/B7)</f>
        <v/>
      </c>
      <c r="H7" s="10">
        <f>IF(OR(B7=0,C7=0),"-",B7/C7)</f>
        <v/>
      </c>
      <c r="I7" s="10">
        <f>IF(OR(B7=0,B6=0),"-",(B7-B6)/B6)</f>
        <v/>
      </c>
    </row>
    <row r="8" ht="18" customHeight="1">
      <c r="A8" s="7" t="inlineStr">
        <is>
          <t>21-02-2026</t>
        </is>
      </c>
      <c r="B8" s="8" t="n">
        <v>471</v>
      </c>
      <c r="C8" s="8" t="n">
        <v>1260</v>
      </c>
      <c r="D8" s="8" t="n">
        <v>343</v>
      </c>
      <c r="E8" s="8" t="n">
        <v>121</v>
      </c>
      <c r="F8" s="9">
        <f>IF(B8=0,"-",B8-D8)</f>
        <v/>
      </c>
      <c r="G8" s="10">
        <f>IF(B8=0,"-",(B8-D8)/B8)</f>
        <v/>
      </c>
      <c r="H8" s="10">
        <f>IF(OR(B8=0,C8=0),"-",B8/C8)</f>
        <v/>
      </c>
      <c r="I8" s="10">
        <f>IF(OR(B8=0,B7=0),"-",(B8-B7)/B7)</f>
        <v/>
      </c>
    </row>
    <row r="9" ht="18" customHeight="1">
      <c r="A9" s="7" t="inlineStr">
        <is>
          <t>22-02-2026</t>
        </is>
      </c>
      <c r="B9" s="8" t="n">
        <v>1007</v>
      </c>
      <c r="C9" s="8" t="n">
        <v>1260</v>
      </c>
      <c r="D9" s="8" t="n">
        <v>720</v>
      </c>
      <c r="E9" s="8" t="n">
        <v>266</v>
      </c>
      <c r="F9" s="9">
        <f>IF(B9=0,"-",B9-D9)</f>
        <v/>
      </c>
      <c r="G9" s="10">
        <f>IF(B9=0,"-",(B9-D9)/B9)</f>
        <v/>
      </c>
      <c r="H9" s="10">
        <f>IF(OR(B9=0,C9=0),"-",B9/C9)</f>
        <v/>
      </c>
      <c r="I9" s="10">
        <f>IF(OR(B9=0,B8=0),"-",(B9-B8)/B8)</f>
        <v/>
      </c>
    </row>
    <row r="10" ht="18" customHeight="1">
      <c r="A10" s="7" t="inlineStr">
        <is>
          <t>23-02-2026</t>
        </is>
      </c>
      <c r="B10" s="8" t="n">
        <v>4192</v>
      </c>
      <c r="C10" s="8" t="n">
        <v>4410</v>
      </c>
      <c r="D10" s="8" t="n">
        <v>3203</v>
      </c>
      <c r="E10" s="8" t="n">
        <v>820</v>
      </c>
      <c r="F10" s="9">
        <f>IF(B10=0,"-",B10-D10)</f>
        <v/>
      </c>
      <c r="G10" s="10">
        <f>IF(B10=0,"-",(B10-D10)/B10)</f>
        <v/>
      </c>
      <c r="H10" s="10">
        <f>IF(OR(B10=0,C10=0),"-",B10/C10)</f>
        <v/>
      </c>
      <c r="I10" s="10">
        <f>IF(OR(B10=0,B9=0),"-",(B10-B9)/B9)</f>
        <v/>
      </c>
    </row>
    <row r="11" ht="18" customHeight="1">
      <c r="A11" s="7" t="inlineStr">
        <is>
          <t>24-02-2026</t>
        </is>
      </c>
      <c r="B11" s="8" t="n">
        <v>4756</v>
      </c>
      <c r="C11" s="8" t="n">
        <v>4410</v>
      </c>
      <c r="D11" s="8" t="n">
        <v>3032</v>
      </c>
      <c r="E11" s="8" t="n">
        <v>1247</v>
      </c>
      <c r="F11" s="9">
        <f>IF(B11=0,"-",B11-D11)</f>
        <v/>
      </c>
      <c r="G11" s="10">
        <f>IF(B11=0,"-",(B11-D11)/B11)</f>
        <v/>
      </c>
      <c r="H11" s="10">
        <f>IF(OR(B11=0,C11=0),"-",B11/C11)</f>
        <v/>
      </c>
      <c r="I11" s="10">
        <f>IF(OR(B11=0,B10=0),"-",(B11-B10)/B10)</f>
        <v/>
      </c>
    </row>
    <row r="12" ht="18" customHeight="1">
      <c r="A12" s="7" t="inlineStr">
        <is>
          <t>25-02-2026</t>
        </is>
      </c>
      <c r="B12" s="8" t="n">
        <v>3245</v>
      </c>
      <c r="C12" s="8" t="n">
        <v>4410</v>
      </c>
      <c r="D12" s="8" t="n">
        <v>2405</v>
      </c>
      <c r="E12" s="8" t="n">
        <v>685</v>
      </c>
      <c r="F12" s="9">
        <f>IF(B12=0,"-",B12-D12)</f>
        <v/>
      </c>
      <c r="G12" s="10">
        <f>IF(B12=0,"-",(B12-D12)/B12)</f>
        <v/>
      </c>
      <c r="H12" s="10">
        <f>IF(OR(B12=0,C12=0),"-",B12/C12)</f>
        <v/>
      </c>
      <c r="I12" s="10">
        <f>IF(OR(B12=0,B11=0),"-",(B12-B11)/B11)</f>
        <v/>
      </c>
    </row>
    <row r="13" ht="18" customHeight="1">
      <c r="A13" s="7" t="inlineStr">
        <is>
          <t>26-02-2026</t>
        </is>
      </c>
      <c r="B13" s="8" t="n">
        <v>4232</v>
      </c>
      <c r="C13" s="8" t="n">
        <v>4410</v>
      </c>
      <c r="D13" s="8" t="n">
        <v>3292</v>
      </c>
      <c r="E13" s="8" t="n">
        <v>741</v>
      </c>
      <c r="F13" s="9">
        <f>IF(B13=0,"-",B13-D13)</f>
        <v/>
      </c>
      <c r="G13" s="10">
        <f>IF(B13=0,"-",(B13-D13)/B13)</f>
        <v/>
      </c>
      <c r="H13" s="10">
        <f>IF(OR(B13=0,C13=0),"-",B13/C13)</f>
        <v/>
      </c>
      <c r="I13" s="10">
        <f>IF(OR(B13=0,B12=0),"-",(B13-B12)/B12)</f>
        <v/>
      </c>
    </row>
    <row r="14" ht="18" customHeight="1">
      <c r="A14" s="7" t="inlineStr">
        <is>
          <t>27-02-2026</t>
        </is>
      </c>
      <c r="B14" s="8" t="n">
        <v>3967</v>
      </c>
      <c r="C14" s="8" t="n">
        <v>4410</v>
      </c>
      <c r="D14" s="8" t="n">
        <v>2960</v>
      </c>
      <c r="E14" s="8" t="n">
        <v>829</v>
      </c>
      <c r="F14" s="9">
        <f>IF(B14=0,"-",B14-D14)</f>
        <v/>
      </c>
      <c r="G14" s="10">
        <f>IF(B14=0,"-",(B14-D14)/B14)</f>
        <v/>
      </c>
      <c r="H14" s="10">
        <f>IF(OR(B14=0,C14=0),"-",B14/C14)</f>
        <v/>
      </c>
      <c r="I14" s="10">
        <f>IF(OR(B14=0,B13=0),"-",(B14-B13)/B13)</f>
        <v/>
      </c>
    </row>
    <row r="15" ht="18" customHeight="1">
      <c r="A15" s="7" t="inlineStr">
        <is>
          <t>28-02-2026</t>
        </is>
      </c>
      <c r="B15" s="8" t="n">
        <v>923</v>
      </c>
      <c r="C15" s="8" t="n">
        <v>1260</v>
      </c>
      <c r="D15" s="8" t="n">
        <v>608</v>
      </c>
      <c r="E15" s="8" t="n">
        <v>247</v>
      </c>
      <c r="F15" s="9">
        <f>IF(B15=0,"-",B15-D15)</f>
        <v/>
      </c>
      <c r="G15" s="10">
        <f>IF(B15=0,"-",(B15-D15)/B15)</f>
        <v/>
      </c>
      <c r="H15" s="10">
        <f>IF(OR(B15=0,C15=0),"-",B15/C15)</f>
        <v/>
      </c>
      <c r="I15" s="10">
        <f>IF(OR(B15=0,B14=0),"-",(B15-B14)/B14)</f>
        <v/>
      </c>
    </row>
    <row r="16" ht="18" customHeight="1">
      <c r="A16" s="7" t="inlineStr">
        <is>
          <t>01-03-2026</t>
        </is>
      </c>
      <c r="B16" s="8" t="n">
        <v>907</v>
      </c>
      <c r="C16" s="8" t="n">
        <v>1260</v>
      </c>
      <c r="D16" s="8" t="n">
        <v>619</v>
      </c>
      <c r="E16" s="8" t="n">
        <v>247</v>
      </c>
      <c r="F16" s="9">
        <f>IF(B16=0,"-",B16-D16)</f>
        <v/>
      </c>
      <c r="G16" s="10">
        <f>IF(B16=0,"-",(B16-D16)/B16)</f>
        <v/>
      </c>
      <c r="H16" s="10">
        <f>IF(OR(B16=0,C16=0),"-",B16/C16)</f>
        <v/>
      </c>
      <c r="I16" s="10">
        <f>IF(OR(B16=0,B15=0),"-",(B16-B15)/B15)</f>
        <v/>
      </c>
    </row>
    <row r="17" ht="18" customHeight="1">
      <c r="A17" s="7" t="inlineStr">
        <is>
          <t>02-03-2026</t>
        </is>
      </c>
      <c r="B17" s="8" t="n">
        <v>5376</v>
      </c>
      <c r="C17" s="8" t="n">
        <v>4410</v>
      </c>
      <c r="D17" s="8" t="n">
        <v>3770</v>
      </c>
      <c r="E17" s="8" t="n">
        <v>1359</v>
      </c>
      <c r="F17" s="9">
        <f>IF(B17=0,"-",B17-D17)</f>
        <v/>
      </c>
      <c r="G17" s="10">
        <f>IF(B17=0,"-",(B17-D17)/B17)</f>
        <v/>
      </c>
      <c r="H17" s="10">
        <f>IF(OR(B17=0,C17=0),"-",B17/C17)</f>
        <v/>
      </c>
      <c r="I17" s="10">
        <f>IF(OR(B17=0,B16=0),"-",(B17-B16)/B16)</f>
        <v/>
      </c>
    </row>
    <row r="18" ht="18" customHeight="1">
      <c r="A18" s="7" t="inlineStr">
        <is>
          <t>03-03-2026</t>
        </is>
      </c>
      <c r="B18" s="8" t="n">
        <v>4877</v>
      </c>
      <c r="C18" s="8" t="n">
        <v>4410</v>
      </c>
      <c r="D18" s="8" t="n">
        <v>3592</v>
      </c>
      <c r="E18" s="8" t="n">
        <v>1165</v>
      </c>
      <c r="F18" s="9">
        <f>IF(B18=0,"-",B18-D18)</f>
        <v/>
      </c>
      <c r="G18" s="10">
        <f>IF(B18=0,"-",(B18-D18)/B18)</f>
        <v/>
      </c>
      <c r="H18" s="10">
        <f>IF(OR(B18=0,C18=0),"-",B18/C18)</f>
        <v/>
      </c>
      <c r="I18" s="10">
        <f>IF(OR(B18=0,B17=0),"-",(B18-B17)/B17)</f>
        <v/>
      </c>
    </row>
    <row r="19" ht="18" customHeight="1">
      <c r="A19" s="7" t="inlineStr">
        <is>
          <t>04-03-2026</t>
        </is>
      </c>
      <c r="B19" s="8" t="n">
        <v>5619</v>
      </c>
      <c r="C19" s="8" t="n">
        <v>4410</v>
      </c>
      <c r="D19" s="8" t="n">
        <v>3720</v>
      </c>
      <c r="E19" s="8" t="n">
        <v>1544</v>
      </c>
      <c r="F19" s="9">
        <f>IF(B19=0,"-",B19-D19)</f>
        <v/>
      </c>
      <c r="G19" s="10">
        <f>IF(B19=0,"-",(B19-D19)/B19)</f>
        <v/>
      </c>
      <c r="H19" s="10">
        <f>IF(OR(B19=0,C19=0),"-",B19/C19)</f>
        <v/>
      </c>
      <c r="I19" s="10">
        <f>IF(OR(B19=0,B18=0),"-",(B19-B18)/B18)</f>
        <v/>
      </c>
    </row>
    <row r="20" ht="18" customHeight="1">
      <c r="A20" s="7" t="inlineStr">
        <is>
          <t>05-03-2026</t>
        </is>
      </c>
      <c r="B20" s="8" t="n">
        <v>4913</v>
      </c>
      <c r="C20" s="8" t="n">
        <v>4410</v>
      </c>
      <c r="D20" s="8" t="n">
        <v>3090</v>
      </c>
      <c r="E20" s="8" t="n">
        <v>1338</v>
      </c>
      <c r="F20" s="9">
        <f>IF(B20=0,"-",B20-D20)</f>
        <v/>
      </c>
      <c r="G20" s="10">
        <f>IF(B20=0,"-",(B20-D20)/B20)</f>
        <v/>
      </c>
      <c r="H20" s="10">
        <f>IF(OR(B20=0,C20=0),"-",B20/C20)</f>
        <v/>
      </c>
      <c r="I20" s="10">
        <f>IF(OR(B20=0,B19=0),"-",(B20-B19)/B19)</f>
        <v/>
      </c>
    </row>
    <row r="21" ht="18" customHeight="1">
      <c r="A21" s="7" t="inlineStr">
        <is>
          <t>06-03-2026</t>
        </is>
      </c>
      <c r="B21" s="8" t="n">
        <v>4124</v>
      </c>
      <c r="C21" s="8" t="n">
        <v>4410</v>
      </c>
      <c r="D21" s="8" t="n">
        <v>2742</v>
      </c>
      <c r="E21" s="8" t="n">
        <v>1130</v>
      </c>
      <c r="F21" s="9">
        <f>IF(B21=0,"-",B21-D21)</f>
        <v/>
      </c>
      <c r="G21" s="10">
        <f>IF(B21=0,"-",(B21-D21)/B21)</f>
        <v/>
      </c>
      <c r="H21" s="10">
        <f>IF(OR(B21=0,C21=0),"-",B21/C21)</f>
        <v/>
      </c>
      <c r="I21" s="10">
        <f>IF(OR(B21=0,B20=0),"-",(B21-B20)/B20)</f>
        <v/>
      </c>
    </row>
    <row r="22" ht="18" customHeight="1">
      <c r="A22" s="7" t="inlineStr">
        <is>
          <t>07-03-2026</t>
        </is>
      </c>
      <c r="B22" s="8" t="n">
        <v>812</v>
      </c>
      <c r="C22" s="8" t="n">
        <v>1260</v>
      </c>
      <c r="D22" s="8" t="n">
        <v>527</v>
      </c>
      <c r="E22" s="8" t="n">
        <v>209</v>
      </c>
      <c r="F22" s="9">
        <f>IF(B22=0,"-",B22-D22)</f>
        <v/>
      </c>
      <c r="G22" s="10">
        <f>IF(B22=0,"-",(B22-D22)/B22)</f>
        <v/>
      </c>
      <c r="H22" s="10">
        <f>IF(OR(B22=0,C22=0),"-",B22/C22)</f>
        <v/>
      </c>
      <c r="I22" s="10">
        <f>IF(OR(B22=0,B21=0),"-",(B22-B21)/B21)</f>
        <v/>
      </c>
    </row>
    <row r="23" ht="18" customHeight="1">
      <c r="A23" s="7" t="inlineStr">
        <is>
          <t>08-03-2026</t>
        </is>
      </c>
      <c r="B23" s="8" t="n">
        <v>792</v>
      </c>
      <c r="C23" s="8" t="n">
        <v>1260</v>
      </c>
      <c r="D23" s="8" t="n">
        <v>496</v>
      </c>
      <c r="E23" s="8" t="n">
        <v>224</v>
      </c>
      <c r="F23" s="9">
        <f>IF(B23=0,"-",B23-D23)</f>
        <v/>
      </c>
      <c r="G23" s="10">
        <f>IF(B23=0,"-",(B23-D23)/B23)</f>
        <v/>
      </c>
      <c r="H23" s="10">
        <f>IF(OR(B23=0,C23=0),"-",B23/C23)</f>
        <v/>
      </c>
      <c r="I23" s="10">
        <f>IF(OR(B23=0,B22=0),"-",(B23-B22)/B22)</f>
        <v/>
      </c>
    </row>
    <row r="24" ht="18" customHeight="1">
      <c r="A24" s="7" t="inlineStr">
        <is>
          <t>09-03-2026</t>
        </is>
      </c>
      <c r="B24" s="8" t="n">
        <v>5296</v>
      </c>
      <c r="C24" s="8" t="n">
        <v>4410</v>
      </c>
      <c r="D24" s="8" t="n">
        <v>3772</v>
      </c>
      <c r="E24" s="8" t="n">
        <v>1362</v>
      </c>
      <c r="F24" s="9">
        <f>IF(B24=0,"-",B24-D24)</f>
        <v/>
      </c>
      <c r="G24" s="10">
        <f>IF(B24=0,"-",(B24-D24)/B24)</f>
        <v/>
      </c>
      <c r="H24" s="10">
        <f>IF(OR(B24=0,C24=0),"-",B24/C24)</f>
        <v/>
      </c>
      <c r="I24" s="10">
        <f>IF(OR(B24=0,B23=0),"-",(B24-B23)/B23)</f>
        <v/>
      </c>
    </row>
    <row r="25" ht="18" customHeight="1">
      <c r="A25" s="7" t="inlineStr">
        <is>
          <t>10-03-2026</t>
        </is>
      </c>
      <c r="B25" s="8" t="n">
        <v>4735</v>
      </c>
      <c r="C25" s="8" t="n">
        <v>4410</v>
      </c>
      <c r="D25" s="8" t="n">
        <v>3328</v>
      </c>
      <c r="E25" s="8" t="n">
        <v>1127</v>
      </c>
      <c r="F25" s="9">
        <f>IF(B25=0,"-",B25-D25)</f>
        <v/>
      </c>
      <c r="G25" s="10">
        <f>IF(B25=0,"-",(B25-D25)/B25)</f>
        <v/>
      </c>
      <c r="H25" s="10">
        <f>IF(OR(B25=0,C25=0),"-",B25/C25)</f>
        <v/>
      </c>
      <c r="I25" s="10">
        <f>IF(OR(B25=0,B24=0),"-",(B25-B24)/B24)</f>
        <v/>
      </c>
    </row>
    <row r="26" ht="18" customHeight="1">
      <c r="A26" s="7" t="inlineStr">
        <is>
          <t>11-03-2026</t>
        </is>
      </c>
      <c r="B26" s="8" t="n">
        <v>4278</v>
      </c>
      <c r="C26" s="8" t="n">
        <v>4410</v>
      </c>
      <c r="D26" s="8" t="n">
        <v>2831</v>
      </c>
      <c r="E26" s="8" t="n">
        <v>1047</v>
      </c>
      <c r="F26" s="9">
        <f>IF(B26=0,"-",B26-D26)</f>
        <v/>
      </c>
      <c r="G26" s="10">
        <f>IF(B26=0,"-",(B26-D26)/B26)</f>
        <v/>
      </c>
      <c r="H26" s="10">
        <f>IF(OR(B26=0,C26=0),"-",B26/C26)</f>
        <v/>
      </c>
      <c r="I26" s="10">
        <f>IF(OR(B26=0,B25=0),"-",(B26-B25)/B25)</f>
        <v/>
      </c>
    </row>
    <row r="27" ht="18" customHeight="1">
      <c r="A27" s="7" t="inlineStr">
        <is>
          <t>12-03-2026</t>
        </is>
      </c>
      <c r="B27" s="8" t="n">
        <v>4879</v>
      </c>
      <c r="C27" s="8" t="n">
        <v>4410</v>
      </c>
      <c r="D27" s="8" t="n">
        <v>3371</v>
      </c>
      <c r="E27" s="8" t="n">
        <v>1240</v>
      </c>
      <c r="F27" s="9">
        <f>IF(B27=0,"-",B27-D27)</f>
        <v/>
      </c>
      <c r="G27" s="10">
        <f>IF(B27=0,"-",(B27-D27)/B27)</f>
        <v/>
      </c>
      <c r="H27" s="10">
        <f>IF(OR(B27=0,C27=0),"-",B27/C27)</f>
        <v/>
      </c>
      <c r="I27" s="10">
        <f>IF(OR(B27=0,B26=0),"-",(B27-B26)/B26)</f>
        <v/>
      </c>
    </row>
    <row r="28" ht="18" customHeight="1">
      <c r="A28" s="7" t="inlineStr">
        <is>
          <t>13-03-2026</t>
        </is>
      </c>
      <c r="B28" s="8" t="n">
        <v>5171</v>
      </c>
      <c r="C28" s="8" t="n">
        <v>4410</v>
      </c>
      <c r="D28" s="8" t="n">
        <v>3294</v>
      </c>
      <c r="E28" s="8" t="n">
        <v>1335</v>
      </c>
      <c r="F28" s="9">
        <f>IF(B28=0,"-",B28-D28)</f>
        <v/>
      </c>
      <c r="G28" s="10">
        <f>IF(B28=0,"-",(B28-D28)/B28)</f>
        <v/>
      </c>
      <c r="H28" s="10">
        <f>IF(OR(B28=0,C28=0),"-",B28/C28)</f>
        <v/>
      </c>
      <c r="I28" s="10">
        <f>IF(OR(B28=0,B27=0),"-",(B28-B27)/B27)</f>
        <v/>
      </c>
    </row>
    <row r="29" ht="18" customHeight="1">
      <c r="A29" s="7" t="inlineStr">
        <is>
          <t>14-03-2026</t>
        </is>
      </c>
      <c r="B29" s="8" t="n">
        <v>438</v>
      </c>
      <c r="C29" s="8" t="n">
        <v>1260</v>
      </c>
      <c r="D29" s="8" t="n">
        <v>298</v>
      </c>
      <c r="E29" s="8" t="n">
        <v>115</v>
      </c>
      <c r="F29" s="9">
        <f>IF(B29=0,"-",B29-D29)</f>
        <v/>
      </c>
      <c r="G29" s="10">
        <f>IF(B29=0,"-",(B29-D29)/B29)</f>
        <v/>
      </c>
      <c r="H29" s="10">
        <f>IF(OR(B29=0,C29=0),"-",B29/C29)</f>
        <v/>
      </c>
      <c r="I29" s="10">
        <f>IF(OR(B29=0,B28=0),"-",(B29-B28)/B28)</f>
        <v/>
      </c>
    </row>
    <row r="30" ht="18" customHeight="1">
      <c r="A30" s="7" t="inlineStr">
        <is>
          <t>15-03-2026</t>
        </is>
      </c>
      <c r="B30" s="8" t="n">
        <v>882</v>
      </c>
      <c r="C30" s="8" t="n">
        <v>1260</v>
      </c>
      <c r="D30" s="8" t="n">
        <v>570</v>
      </c>
      <c r="E30" s="8" t="n">
        <v>204</v>
      </c>
      <c r="F30" s="9">
        <f>IF(B30=0,"-",B30-D30)</f>
        <v/>
      </c>
      <c r="G30" s="10">
        <f>IF(B30=0,"-",(B30-D30)/B30)</f>
        <v/>
      </c>
      <c r="H30" s="10">
        <f>IF(OR(B30=0,C30=0),"-",B30/C30)</f>
        <v/>
      </c>
      <c r="I30" s="10">
        <f>IF(OR(B30=0,B29=0),"-",(B30-B29)/B29)</f>
        <v/>
      </c>
    </row>
    <row r="31" ht="18" customHeight="1">
      <c r="A31" s="7" t="inlineStr">
        <is>
          <t>16-03-2026</t>
        </is>
      </c>
      <c r="B31" s="8" t="n">
        <v>4862</v>
      </c>
      <c r="C31" s="8" t="n">
        <v>4410</v>
      </c>
      <c r="D31" s="8" t="n">
        <v>3088</v>
      </c>
      <c r="E31" s="8" t="n">
        <v>1229</v>
      </c>
      <c r="F31" s="9">
        <f>IF(B31=0,"-",B31-D31)</f>
        <v/>
      </c>
      <c r="G31" s="10">
        <f>IF(B31=0,"-",(B31-D31)/B31)</f>
        <v/>
      </c>
      <c r="H31" s="10">
        <f>IF(OR(B31=0,C31=0),"-",B31/C31)</f>
        <v/>
      </c>
      <c r="I31" s="10">
        <f>IF(OR(B31=0,B30=0),"-",(B31-B30)/B30)</f>
        <v/>
      </c>
    </row>
    <row r="32" ht="18" customHeight="1">
      <c r="A32" s="7" t="inlineStr">
        <is>
          <t>17-03-2026</t>
        </is>
      </c>
      <c r="B32" s="8" t="n">
        <v>3657</v>
      </c>
      <c r="C32" s="8" t="n">
        <v>4410</v>
      </c>
      <c r="D32" s="8" t="n">
        <v>2642</v>
      </c>
      <c r="E32" s="8" t="n">
        <v>882</v>
      </c>
      <c r="F32" s="9">
        <f>IF(B32=0,"-",B32-D32)</f>
        <v/>
      </c>
      <c r="G32" s="10">
        <f>IF(B32=0,"-",(B32-D32)/B32)</f>
        <v/>
      </c>
      <c r="H32" s="10">
        <f>IF(OR(B32=0,C32=0),"-",B32/C32)</f>
        <v/>
      </c>
      <c r="I32" s="10">
        <f>IF(OR(B32=0,B31=0),"-",(B32-B31)/B31)</f>
        <v/>
      </c>
    </row>
    <row r="33" ht="18" customHeight="1">
      <c r="A33" s="7" t="inlineStr">
        <is>
          <t>18-03-2026</t>
        </is>
      </c>
      <c r="B33" s="8" t="n">
        <v>3913</v>
      </c>
      <c r="C33" s="8" t="n">
        <v>4410</v>
      </c>
      <c r="D33" s="8" t="n">
        <v>2987</v>
      </c>
      <c r="E33" s="8" t="n">
        <v>640</v>
      </c>
      <c r="F33" s="9">
        <f>IF(B33=0,"-",B33-D33)</f>
        <v/>
      </c>
      <c r="G33" s="10">
        <f>IF(B33=0,"-",(B33-D33)/B33)</f>
        <v/>
      </c>
      <c r="H33" s="10">
        <f>IF(OR(B33=0,C33=0),"-",B33/C33)</f>
        <v/>
      </c>
      <c r="I33" s="10">
        <f>IF(OR(B33=0,B32=0),"-",(B33-B32)/B32)</f>
        <v/>
      </c>
    </row>
    <row r="34" ht="18" customHeight="1">
      <c r="A34" s="7" t="inlineStr">
        <is>
          <t>19-03-2026</t>
        </is>
      </c>
      <c r="B34" s="8" t="n">
        <v>4998</v>
      </c>
      <c r="C34" s="8" t="n">
        <v>4410</v>
      </c>
      <c r="D34" s="8" t="n">
        <v>3666</v>
      </c>
      <c r="E34" s="8" t="n">
        <v>926</v>
      </c>
      <c r="F34" s="9">
        <f>IF(B34=0,"-",B34-D34)</f>
        <v/>
      </c>
      <c r="G34" s="10">
        <f>IF(B34=0,"-",(B34-D34)/B34)</f>
        <v/>
      </c>
      <c r="H34" s="10">
        <f>IF(OR(B34=0,C34=0),"-",B34/C34)</f>
        <v/>
      </c>
      <c r="I34" s="10">
        <f>IF(OR(B34=0,B33=0),"-",(B34-B33)/B33)</f>
        <v/>
      </c>
    </row>
    <row r="35" ht="18" customHeight="1">
      <c r="A35" s="7" t="inlineStr">
        <is>
          <t>20-03-2026</t>
        </is>
      </c>
      <c r="B35" s="8" t="n">
        <v>5933</v>
      </c>
      <c r="C35" s="8" t="n">
        <v>4410</v>
      </c>
      <c r="D35" s="8" t="n">
        <v>3805</v>
      </c>
      <c r="E35" s="8" t="n">
        <v>1863</v>
      </c>
      <c r="F35" s="9">
        <f>IF(B35=0,"-",B35-D35)</f>
        <v/>
      </c>
      <c r="G35" s="10">
        <f>IF(B35=0,"-",(B35-D35)/B35)</f>
        <v/>
      </c>
      <c r="H35" s="10">
        <f>IF(OR(B35=0,C35=0),"-",B35/C35)</f>
        <v/>
      </c>
      <c r="I35" s="10">
        <f>IF(OR(B35=0,B34=0),"-",(B35-B34)/B34)</f>
        <v/>
      </c>
    </row>
    <row r="36" ht="18" customHeight="1">
      <c r="A36" s="7" t="inlineStr">
        <is>
          <t>21-03-2026</t>
        </is>
      </c>
      <c r="B36" s="8" t="n">
        <v>902</v>
      </c>
      <c r="C36" s="8" t="n">
        <v>1260</v>
      </c>
      <c r="D36" s="8" t="n">
        <v>554</v>
      </c>
      <c r="E36" s="8" t="n">
        <v>279</v>
      </c>
      <c r="F36" s="9">
        <f>IF(B36=0,"-",B36-D36)</f>
        <v/>
      </c>
      <c r="G36" s="10">
        <f>IF(B36=0,"-",(B36-D36)/B36)</f>
        <v/>
      </c>
      <c r="H36" s="10">
        <f>IF(OR(B36=0,C36=0),"-",B36/C36)</f>
        <v/>
      </c>
      <c r="I36" s="10">
        <f>IF(OR(B36=0,B35=0),"-",(B36-B35)/B35)</f>
        <v/>
      </c>
    </row>
    <row r="37" ht="18" customHeight="1">
      <c r="A37" s="7" t="inlineStr">
        <is>
          <t>22-03-2026</t>
        </is>
      </c>
      <c r="B37" s="8" t="n">
        <v>508</v>
      </c>
      <c r="C37" s="8" t="n">
        <v>1260</v>
      </c>
      <c r="D37" s="8" t="n">
        <v>343</v>
      </c>
      <c r="E37" s="8" t="n">
        <v>147</v>
      </c>
      <c r="F37" s="9">
        <f>IF(B37=0,"-",B37-D37)</f>
        <v/>
      </c>
      <c r="G37" s="10">
        <f>IF(B37=0,"-",(B37-D37)/B37)</f>
        <v/>
      </c>
      <c r="H37" s="10">
        <f>IF(OR(B37=0,C37=0),"-",B37/C37)</f>
        <v/>
      </c>
      <c r="I37" s="10">
        <f>IF(OR(B37=0,B36=0),"-",(B37-B36)/B36)</f>
        <v/>
      </c>
    </row>
    <row r="38" ht="18" customHeight="1">
      <c r="A38" s="7" t="inlineStr">
        <is>
          <t>23-03-2026</t>
        </is>
      </c>
      <c r="B38" s="8" t="n">
        <v>5505</v>
      </c>
      <c r="C38" s="8" t="n">
        <v>4410</v>
      </c>
      <c r="D38" s="8" t="n">
        <v>3972</v>
      </c>
      <c r="E38" s="8" t="n">
        <v>1267</v>
      </c>
      <c r="F38" s="9">
        <f>IF(B38=0,"-",B38-D38)</f>
        <v/>
      </c>
      <c r="G38" s="10">
        <f>IF(B38=0,"-",(B38-D38)/B38)</f>
        <v/>
      </c>
      <c r="H38" s="10">
        <f>IF(OR(B38=0,C38=0),"-",B38/C38)</f>
        <v/>
      </c>
      <c r="I38" s="10">
        <f>IF(OR(B38=0,B37=0),"-",(B38-B37)/B37)</f>
        <v/>
      </c>
    </row>
    <row r="39" ht="18" customHeight="1">
      <c r="A39" s="7" t="inlineStr">
        <is>
          <t>24-03-2026</t>
        </is>
      </c>
      <c r="B39" s="8" t="n">
        <v>3821</v>
      </c>
      <c r="C39" s="8" t="n">
        <v>4410</v>
      </c>
      <c r="D39" s="8" t="n">
        <v>2902</v>
      </c>
      <c r="E39" s="8" t="n">
        <v>695</v>
      </c>
      <c r="F39" s="9">
        <f>IF(B39=0,"-",B39-D39)</f>
        <v/>
      </c>
      <c r="G39" s="10">
        <f>IF(B39=0,"-",(B39-D39)/B39)</f>
        <v/>
      </c>
      <c r="H39" s="10">
        <f>IF(OR(B39=0,C39=0),"-",B39/C39)</f>
        <v/>
      </c>
      <c r="I39" s="10">
        <f>IF(OR(B39=0,B38=0),"-",(B39-B38)/B38)</f>
        <v/>
      </c>
    </row>
    <row r="40" ht="18" customHeight="1">
      <c r="A40" s="7" t="inlineStr">
        <is>
          <t>25-03-2026</t>
        </is>
      </c>
      <c r="B40" s="8" t="n">
        <v>5250</v>
      </c>
      <c r="C40" s="8" t="n">
        <v>4410</v>
      </c>
      <c r="D40" s="8" t="n">
        <v>3638</v>
      </c>
      <c r="E40" s="8" t="n">
        <v>1226</v>
      </c>
      <c r="F40" s="9">
        <f>IF(B40=0,"-",B40-D40)</f>
        <v/>
      </c>
      <c r="G40" s="10">
        <f>IF(B40=0,"-",(B40-D40)/B40)</f>
        <v/>
      </c>
      <c r="H40" s="10">
        <f>IF(OR(B40=0,C40=0),"-",B40/C40)</f>
        <v/>
      </c>
      <c r="I40" s="10">
        <f>IF(OR(B40=0,B39=0),"-",(B40-B39)/B39)</f>
        <v/>
      </c>
    </row>
    <row r="41" ht="18" customHeight="1">
      <c r="A41" s="7" t="inlineStr">
        <is>
          <t>26-03-2026</t>
        </is>
      </c>
      <c r="B41" s="8" t="n">
        <v>4548</v>
      </c>
      <c r="C41" s="8" t="n">
        <v>4410</v>
      </c>
      <c r="D41" s="8" t="n">
        <v>2942</v>
      </c>
      <c r="E41" s="8" t="n">
        <v>1076</v>
      </c>
      <c r="F41" s="9">
        <f>IF(B41=0,"-",B41-D41)</f>
        <v/>
      </c>
      <c r="G41" s="10">
        <f>IF(B41=0,"-",(B41-D41)/B41)</f>
        <v/>
      </c>
      <c r="H41" s="10">
        <f>IF(OR(B41=0,C41=0),"-",B41/C41)</f>
        <v/>
      </c>
      <c r="I41" s="10">
        <f>IF(OR(B41=0,B40=0),"-",(B41-B40)/B40)</f>
        <v/>
      </c>
    </row>
    <row r="42" ht="18" customHeight="1">
      <c r="A42" s="7" t="inlineStr">
        <is>
          <t>27-03-2026</t>
        </is>
      </c>
      <c r="B42" s="8" t="n">
        <v>5888</v>
      </c>
      <c r="C42" s="8" t="n">
        <v>4410</v>
      </c>
      <c r="D42" s="8" t="n">
        <v>3859</v>
      </c>
      <c r="E42" s="8" t="n">
        <v>1628</v>
      </c>
      <c r="F42" s="9">
        <f>IF(B42=0,"-",B42-D42)</f>
        <v/>
      </c>
      <c r="G42" s="10">
        <f>IF(B42=0,"-",(B42-D42)/B42)</f>
        <v/>
      </c>
      <c r="H42" s="10">
        <f>IF(OR(B42=0,C42=0),"-",B42/C42)</f>
        <v/>
      </c>
      <c r="I42" s="10">
        <f>IF(OR(B42=0,B41=0),"-",(B42-B41)/B41)</f>
        <v/>
      </c>
    </row>
    <row r="43" ht="18" customHeight="1">
      <c r="A43" s="7" t="inlineStr">
        <is>
          <t>28-03-2026</t>
        </is>
      </c>
      <c r="B43" s="8" t="n">
        <v>777</v>
      </c>
      <c r="C43" s="8" t="n">
        <v>1260</v>
      </c>
      <c r="D43" s="8" t="n">
        <v>553</v>
      </c>
      <c r="E43" s="8" t="n">
        <v>174</v>
      </c>
      <c r="F43" s="9">
        <f>IF(B43=0,"-",B43-D43)</f>
        <v/>
      </c>
      <c r="G43" s="10">
        <f>IF(B43=0,"-",(B43-D43)/B43)</f>
        <v/>
      </c>
      <c r="H43" s="10">
        <f>IF(OR(B43=0,C43=0),"-",B43/C43)</f>
        <v/>
      </c>
      <c r="I43" s="10">
        <f>IF(OR(B43=0,B42=0),"-",(B43-B42)/B42)</f>
        <v/>
      </c>
    </row>
    <row r="44" ht="18" customHeight="1">
      <c r="A44" s="7" t="inlineStr">
        <is>
          <t>29-03-2026</t>
        </is>
      </c>
      <c r="B44" s="8" t="n">
        <v>572</v>
      </c>
      <c r="C44" s="8" t="n">
        <v>1260</v>
      </c>
      <c r="D44" s="8" t="n">
        <v>423</v>
      </c>
      <c r="E44" s="8" t="n">
        <v>140</v>
      </c>
      <c r="F44" s="9">
        <f>IF(B44=0,"-",B44-D44)</f>
        <v/>
      </c>
      <c r="G44" s="10">
        <f>IF(B44=0,"-",(B44-D44)/B44)</f>
        <v/>
      </c>
      <c r="H44" s="10">
        <f>IF(OR(B44=0,C44=0),"-",B44/C44)</f>
        <v/>
      </c>
      <c r="I44" s="10">
        <f>IF(OR(B44=0,B43=0),"-",(B44-B43)/B43)</f>
        <v/>
      </c>
    </row>
    <row r="45" ht="18" customHeight="1">
      <c r="A45" s="7" t="inlineStr">
        <is>
          <t>30-03-2026</t>
        </is>
      </c>
      <c r="B45" s="8" t="n">
        <v>5982</v>
      </c>
      <c r="C45" s="8" t="n">
        <v>4410</v>
      </c>
      <c r="D45" s="8" t="n">
        <v>4565</v>
      </c>
      <c r="E45" s="8" t="n">
        <v>987</v>
      </c>
      <c r="F45" s="9">
        <f>IF(B45=0,"-",B45-D45)</f>
        <v/>
      </c>
      <c r="G45" s="10">
        <f>IF(B45=0,"-",(B45-D45)/B45)</f>
        <v/>
      </c>
      <c r="H45" s="10">
        <f>IF(OR(B45=0,C45=0),"-",B45/C45)</f>
        <v/>
      </c>
      <c r="I45" s="10">
        <f>IF(OR(B45=0,B44=0),"-",(B45-B44)/B44)</f>
        <v/>
      </c>
    </row>
    <row r="46" ht="18" customHeight="1">
      <c r="A46" s="7" t="inlineStr">
        <is>
          <t>31-03-2026</t>
        </is>
      </c>
      <c r="B46" s="8" t="n">
        <v>5684</v>
      </c>
      <c r="C46" s="8" t="n">
        <v>4410</v>
      </c>
      <c r="D46" s="8" t="n">
        <v>3752</v>
      </c>
      <c r="E46" s="8" t="n">
        <v>1684</v>
      </c>
      <c r="F46" s="9">
        <f>IF(B46=0,"-",B46-D46)</f>
        <v/>
      </c>
      <c r="G46" s="10">
        <f>IF(B46=0,"-",(B46-D46)/B46)</f>
        <v/>
      </c>
      <c r="H46" s="10">
        <f>IF(OR(B46=0,C46=0),"-",B46/C46)</f>
        <v/>
      </c>
      <c r="I46" s="10">
        <f>IF(OR(B46=0,B45=0),"-",(B46-B45)/B45)</f>
        <v/>
      </c>
    </row>
    <row r="47" ht="18" customHeight="1">
      <c r="A47" s="7" t="inlineStr">
        <is>
          <t>01-04-2026</t>
        </is>
      </c>
      <c r="B47" s="8" t="n">
        <v>4606</v>
      </c>
      <c r="C47" s="8" t="n">
        <v>4410</v>
      </c>
      <c r="D47" s="8" t="n">
        <v>2915</v>
      </c>
      <c r="E47" s="8" t="n">
        <v>1360</v>
      </c>
      <c r="F47" s="9">
        <f>IF(B47=0,"-",B47-D47)</f>
        <v/>
      </c>
      <c r="G47" s="10">
        <f>IF(B47=0,"-",(B47-D47)/B47)</f>
        <v/>
      </c>
      <c r="H47" s="10">
        <f>IF(OR(B47=0,C47=0),"-",B47/C47)</f>
        <v/>
      </c>
      <c r="I47" s="10">
        <f>IF(OR(B47=0,B46=0),"-",(B47-B46)/B46)</f>
        <v/>
      </c>
    </row>
    <row r="48" ht="18" customHeight="1">
      <c r="A48" s="7" t="inlineStr">
        <is>
          <t>02-04-2026</t>
        </is>
      </c>
      <c r="B48" s="8" t="n">
        <v>3364</v>
      </c>
      <c r="C48" s="8" t="n">
        <v>4410</v>
      </c>
      <c r="D48" s="8" t="n">
        <v>2129</v>
      </c>
      <c r="E48" s="8" t="n">
        <v>933</v>
      </c>
      <c r="F48" s="9">
        <f>IF(B48=0,"-",B48-D48)</f>
        <v/>
      </c>
      <c r="G48" s="10">
        <f>IF(B48=0,"-",(B48-D48)/B48)</f>
        <v/>
      </c>
      <c r="H48" s="10">
        <f>IF(OR(B48=0,C48=0),"-",B48/C48)</f>
        <v/>
      </c>
      <c r="I48" s="10">
        <f>IF(OR(B48=0,B47=0),"-",(B48-B47)/B47)</f>
        <v/>
      </c>
    </row>
    <row r="49" ht="18" customHeight="1">
      <c r="A49" s="7" t="inlineStr">
        <is>
          <t>03-04-2026</t>
        </is>
      </c>
      <c r="B49" s="8" t="n">
        <v>5482</v>
      </c>
      <c r="C49" s="8" t="n">
        <v>4410</v>
      </c>
      <c r="D49" s="8" t="n">
        <v>3348</v>
      </c>
      <c r="E49" s="8" t="n">
        <v>1916</v>
      </c>
      <c r="F49" s="9">
        <f>IF(B49=0,"-",B49-D49)</f>
        <v/>
      </c>
      <c r="G49" s="10">
        <f>IF(B49=0,"-",(B49-D49)/B49)</f>
        <v/>
      </c>
      <c r="H49" s="10">
        <f>IF(OR(B49=0,C49=0),"-",B49/C49)</f>
        <v/>
      </c>
      <c r="I49" s="10">
        <f>IF(OR(B49=0,B48=0),"-",(B49-B48)/B48)</f>
        <v/>
      </c>
    </row>
    <row r="50" ht="18" customHeight="1">
      <c r="A50" s="7" t="inlineStr">
        <is>
          <t>04-04-2026</t>
        </is>
      </c>
      <c r="B50" s="8" t="n">
        <v>1000</v>
      </c>
      <c r="C50" s="8" t="n">
        <v>1260</v>
      </c>
      <c r="D50" s="8" t="n">
        <v>622</v>
      </c>
      <c r="E50" s="8" t="n">
        <v>324</v>
      </c>
      <c r="F50" s="9">
        <f>IF(B50=0,"-",B50-D50)</f>
        <v/>
      </c>
      <c r="G50" s="10">
        <f>IF(B50=0,"-",(B50-D50)/B50)</f>
        <v/>
      </c>
      <c r="H50" s="10">
        <f>IF(OR(B50=0,C50=0),"-",B50/C50)</f>
        <v/>
      </c>
      <c r="I50" s="10">
        <f>IF(OR(B50=0,B49=0),"-",(B50-B49)/B49)</f>
        <v/>
      </c>
    </row>
    <row r="51" ht="18" customHeight="1">
      <c r="A51" s="7" t="inlineStr">
        <is>
          <t>05-04-2026</t>
        </is>
      </c>
      <c r="B51" s="8" t="n">
        <v>761</v>
      </c>
      <c r="C51" s="8" t="n">
        <v>1260</v>
      </c>
      <c r="D51" s="8" t="n">
        <v>503</v>
      </c>
      <c r="E51" s="8" t="n">
        <v>191</v>
      </c>
      <c r="F51" s="9">
        <f>IF(B51=0,"-",B51-D51)</f>
        <v/>
      </c>
      <c r="G51" s="10">
        <f>IF(B51=0,"-",(B51-D51)/B51)</f>
        <v/>
      </c>
      <c r="H51" s="10">
        <f>IF(OR(B51=0,C51=0),"-",B51/C51)</f>
        <v/>
      </c>
      <c r="I51" s="10">
        <f>IF(OR(B51=0,B50=0),"-",(B51-B50)/B50)</f>
        <v/>
      </c>
    </row>
    <row r="52" ht="18" customHeight="1">
      <c r="A52" s="7" t="inlineStr">
        <is>
          <t>06-04-2026</t>
        </is>
      </c>
      <c r="B52" s="8" t="n">
        <v>5145</v>
      </c>
      <c r="C52" s="8" t="n">
        <v>4410</v>
      </c>
      <c r="D52" s="8" t="n">
        <v>3649</v>
      </c>
      <c r="E52" s="8" t="n">
        <v>1059</v>
      </c>
      <c r="F52" s="9">
        <f>IF(B52=0,"-",B52-D52)</f>
        <v/>
      </c>
      <c r="G52" s="10">
        <f>IF(B52=0,"-",(B52-D52)/B52)</f>
        <v/>
      </c>
      <c r="H52" s="10">
        <f>IF(OR(B52=0,C52=0),"-",B52/C52)</f>
        <v/>
      </c>
      <c r="I52" s="10">
        <f>IF(OR(B52=0,B51=0),"-",(B52-B51)/B51)</f>
        <v/>
      </c>
    </row>
    <row r="53" ht="18" customHeight="1">
      <c r="A53" s="7" t="inlineStr">
        <is>
          <t>07-04-2026</t>
        </is>
      </c>
      <c r="B53" s="8" t="n">
        <v>3310</v>
      </c>
      <c r="C53" s="8" t="n">
        <v>4410</v>
      </c>
      <c r="D53" s="8" t="n">
        <v>2224</v>
      </c>
      <c r="E53" s="8" t="n">
        <v>896</v>
      </c>
      <c r="F53" s="9">
        <f>IF(B53=0,"-",B53-D53)</f>
        <v/>
      </c>
      <c r="G53" s="10">
        <f>IF(B53=0,"-",(B53-D53)/B53)</f>
        <v/>
      </c>
      <c r="H53" s="10">
        <f>IF(OR(B53=0,C53=0),"-",B53/C53)</f>
        <v/>
      </c>
      <c r="I53" s="10">
        <f>IF(OR(B53=0,B52=0),"-",(B53-B52)/B52)</f>
        <v/>
      </c>
    </row>
    <row r="54" ht="18" customHeight="1">
      <c r="A54" s="7" t="inlineStr">
        <is>
          <t>08-04-2026</t>
        </is>
      </c>
      <c r="B54" s="8" t="n">
        <v>5252</v>
      </c>
      <c r="C54" s="8" t="n">
        <v>4410</v>
      </c>
      <c r="D54" s="8" t="n">
        <v>3420</v>
      </c>
      <c r="E54" s="8" t="n">
        <v>1337</v>
      </c>
      <c r="F54" s="9">
        <f>IF(B54=0,"-",B54-D54)</f>
        <v/>
      </c>
      <c r="G54" s="10">
        <f>IF(B54=0,"-",(B54-D54)/B54)</f>
        <v/>
      </c>
      <c r="H54" s="10">
        <f>IF(OR(B54=0,C54=0),"-",B54/C54)</f>
        <v/>
      </c>
      <c r="I54" s="10">
        <f>IF(OR(B54=0,B53=0),"-",(B54-B53)/B53)</f>
        <v/>
      </c>
    </row>
    <row r="55" ht="18" customHeight="1">
      <c r="A55" s="7" t="inlineStr">
        <is>
          <t>09-04-2026</t>
        </is>
      </c>
      <c r="B55" s="8" t="n">
        <v>4085</v>
      </c>
      <c r="C55" s="8" t="n">
        <v>4410</v>
      </c>
      <c r="D55" s="8" t="n">
        <v>3114</v>
      </c>
      <c r="E55" s="8" t="n">
        <v>765</v>
      </c>
      <c r="F55" s="9">
        <f>IF(B55=0,"-",B55-D55)</f>
        <v/>
      </c>
      <c r="G55" s="10">
        <f>IF(B55=0,"-",(B55-D55)/B55)</f>
        <v/>
      </c>
      <c r="H55" s="10">
        <f>IF(OR(B55=0,C55=0),"-",B55/C55)</f>
        <v/>
      </c>
      <c r="I55" s="10">
        <f>IF(OR(B55=0,B54=0),"-",(B55-B54)/B54)</f>
        <v/>
      </c>
    </row>
    <row r="56" ht="18" customHeight="1">
      <c r="A56" s="7" t="inlineStr">
        <is>
          <t>10-04-2026</t>
        </is>
      </c>
      <c r="B56" s="8" t="n">
        <v>5803</v>
      </c>
      <c r="C56" s="8" t="n">
        <v>4410</v>
      </c>
      <c r="D56" s="8" t="n">
        <v>4522</v>
      </c>
      <c r="E56" s="8" t="n">
        <v>854</v>
      </c>
      <c r="F56" s="9">
        <f>IF(B56=0,"-",B56-D56)</f>
        <v/>
      </c>
      <c r="G56" s="10">
        <f>IF(B56=0,"-",(B56-D56)/B56)</f>
        <v/>
      </c>
      <c r="H56" s="10">
        <f>IF(OR(B56=0,C56=0),"-",B56/C56)</f>
        <v/>
      </c>
      <c r="I56" s="10">
        <f>IF(OR(B56=0,B55=0),"-",(B56-B55)/B55)</f>
        <v/>
      </c>
    </row>
    <row r="57" ht="18" customHeight="1">
      <c r="A57" s="7" t="inlineStr">
        <is>
          <t>11-04-2026</t>
        </is>
      </c>
      <c r="B57" s="8" t="n">
        <v>353</v>
      </c>
      <c r="C57" s="8" t="n">
        <v>1260</v>
      </c>
      <c r="D57" s="8" t="n">
        <v>246</v>
      </c>
      <c r="E57" s="8" t="n">
        <v>96</v>
      </c>
      <c r="F57" s="9">
        <f>IF(B57=0,"-",B57-D57)</f>
        <v/>
      </c>
      <c r="G57" s="10">
        <f>IF(B57=0,"-",(B57-D57)/B57)</f>
        <v/>
      </c>
      <c r="H57" s="10">
        <f>IF(OR(B57=0,C57=0),"-",B57/C57)</f>
        <v/>
      </c>
      <c r="I57" s="10">
        <f>IF(OR(B57=0,B56=0),"-",(B57-B56)/B56)</f>
        <v/>
      </c>
    </row>
    <row r="58" ht="18" customHeight="1">
      <c r="A58" s="7" t="inlineStr">
        <is>
          <t>12-04-2026</t>
        </is>
      </c>
      <c r="B58" s="8" t="n">
        <v>843</v>
      </c>
      <c r="C58" s="8" t="n">
        <v>1260</v>
      </c>
      <c r="D58" s="8" t="n">
        <v>577</v>
      </c>
      <c r="E58" s="8" t="n">
        <v>185</v>
      </c>
      <c r="F58" s="9">
        <f>IF(B58=0,"-",B58-D58)</f>
        <v/>
      </c>
      <c r="G58" s="10">
        <f>IF(B58=0,"-",(B58-D58)/B58)</f>
        <v/>
      </c>
      <c r="H58" s="10">
        <f>IF(OR(B58=0,C58=0),"-",B58/C58)</f>
        <v/>
      </c>
      <c r="I58" s="10">
        <f>IF(OR(B58=0,B57=0),"-",(B58-B57)/B57)</f>
        <v/>
      </c>
    </row>
    <row r="59" ht="18" customHeight="1">
      <c r="A59" s="7" t="inlineStr">
        <is>
          <t>13-04-2026</t>
        </is>
      </c>
      <c r="B59" s="8" t="n">
        <v>5750</v>
      </c>
      <c r="C59" s="8" t="n">
        <v>4410</v>
      </c>
      <c r="D59" s="8" t="n">
        <v>4102</v>
      </c>
      <c r="E59" s="8" t="n">
        <v>1481</v>
      </c>
      <c r="F59" s="9">
        <f>IF(B59=0,"-",B59-D59)</f>
        <v/>
      </c>
      <c r="G59" s="10">
        <f>IF(B59=0,"-",(B59-D59)/B59)</f>
        <v/>
      </c>
      <c r="H59" s="10">
        <f>IF(OR(B59=0,C59=0),"-",B59/C59)</f>
        <v/>
      </c>
      <c r="I59" s="10">
        <f>IF(OR(B59=0,B58=0),"-",(B59-B58)/B58)</f>
        <v/>
      </c>
    </row>
    <row r="60" ht="18" customHeight="1">
      <c r="A60" s="7" t="inlineStr">
        <is>
          <t>14-04-2026</t>
        </is>
      </c>
      <c r="B60" s="8" t="n">
        <v>5577</v>
      </c>
      <c r="C60" s="8" t="n">
        <v>4410</v>
      </c>
      <c r="D60" s="8" t="n">
        <v>3748</v>
      </c>
      <c r="E60" s="8" t="n">
        <v>1381</v>
      </c>
      <c r="F60" s="9">
        <f>IF(B60=0,"-",B60-D60)</f>
        <v/>
      </c>
      <c r="G60" s="10">
        <f>IF(B60=0,"-",(B60-D60)/B60)</f>
        <v/>
      </c>
      <c r="H60" s="10">
        <f>IF(OR(B60=0,C60=0),"-",B60/C60)</f>
        <v/>
      </c>
      <c r="I60" s="10">
        <f>IF(OR(B60=0,B59=0),"-",(B60-B59)/B59)</f>
        <v/>
      </c>
    </row>
    <row r="61" ht="18" customHeight="1">
      <c r="A61" s="7" t="inlineStr">
        <is>
          <t>15-04-2026</t>
        </is>
      </c>
      <c r="B61" s="8" t="n">
        <v>3294</v>
      </c>
      <c r="C61" s="8" t="n">
        <v>4410</v>
      </c>
      <c r="D61" s="8" t="n">
        <v>2029</v>
      </c>
      <c r="E61" s="8" t="n">
        <v>1143</v>
      </c>
      <c r="F61" s="9">
        <f>IF(B61=0,"-",B61-D61)</f>
        <v/>
      </c>
      <c r="G61" s="10">
        <f>IF(B61=0,"-",(B61-D61)/B61)</f>
        <v/>
      </c>
      <c r="H61" s="10">
        <f>IF(OR(B61=0,C61=0),"-",B61/C61)</f>
        <v/>
      </c>
      <c r="I61" s="10">
        <f>IF(OR(B61=0,B60=0),"-",(B61-B60)/B60)</f>
        <v/>
      </c>
    </row>
    <row r="62" ht="18" customHeight="1">
      <c r="A62" s="7" t="inlineStr">
        <is>
          <t>16-04-2026</t>
        </is>
      </c>
      <c r="B62" s="8" t="n">
        <v>3996</v>
      </c>
      <c r="C62" s="8" t="n">
        <v>4410</v>
      </c>
      <c r="D62" s="8" t="n">
        <v>2981</v>
      </c>
      <c r="E62" s="8" t="n">
        <v>938</v>
      </c>
      <c r="F62" s="9">
        <f>IF(B62=0,"-",B62-D62)</f>
        <v/>
      </c>
      <c r="G62" s="10">
        <f>IF(B62=0,"-",(B62-D62)/B62)</f>
        <v/>
      </c>
      <c r="H62" s="10">
        <f>IF(OR(B62=0,C62=0),"-",B62/C62)</f>
        <v/>
      </c>
      <c r="I62" s="10">
        <f>IF(OR(B62=0,B61=0),"-",(B62-B61)/B61)</f>
        <v/>
      </c>
    </row>
    <row r="63" ht="18" customHeight="1">
      <c r="A63" s="7" t="inlineStr">
        <is>
          <t>17-04-2026</t>
        </is>
      </c>
      <c r="B63" s="8" t="n">
        <v>5891</v>
      </c>
      <c r="C63" s="8" t="n">
        <v>4410</v>
      </c>
      <c r="D63" s="8" t="n">
        <v>3988</v>
      </c>
      <c r="E63" s="8" t="n">
        <v>1547</v>
      </c>
      <c r="F63" s="9">
        <f>IF(B63=0,"-",B63-D63)</f>
        <v/>
      </c>
      <c r="G63" s="10">
        <f>IF(B63=0,"-",(B63-D63)/B63)</f>
        <v/>
      </c>
      <c r="H63" s="10">
        <f>IF(OR(B63=0,C63=0),"-",B63/C63)</f>
        <v/>
      </c>
      <c r="I63" s="10">
        <f>IF(OR(B63=0,B62=0),"-",(B63-B62)/B62)</f>
        <v/>
      </c>
    </row>
    <row r="64" ht="18" customHeight="1">
      <c r="A64" s="7" t="inlineStr">
        <is>
          <t>18-04-2026</t>
        </is>
      </c>
      <c r="B64" s="8" t="n">
        <v>976</v>
      </c>
      <c r="C64" s="8" t="n">
        <v>1260</v>
      </c>
      <c r="D64" s="8" t="n">
        <v>630</v>
      </c>
      <c r="E64" s="8" t="n">
        <v>260</v>
      </c>
      <c r="F64" s="9">
        <f>IF(B64=0,"-",B64-D64)</f>
        <v/>
      </c>
      <c r="G64" s="10">
        <f>IF(B64=0,"-",(B64-D64)/B64)</f>
        <v/>
      </c>
      <c r="H64" s="10">
        <f>IF(OR(B64=0,C64=0),"-",B64/C64)</f>
        <v/>
      </c>
      <c r="I64" s="10">
        <f>IF(OR(B64=0,B63=0),"-",(B64-B63)/B63)</f>
        <v/>
      </c>
    </row>
    <row r="65" ht="18" customHeight="1">
      <c r="A65" s="7" t="inlineStr">
        <is>
          <t>19-04-2026</t>
        </is>
      </c>
      <c r="B65" s="8" t="n">
        <v>598</v>
      </c>
      <c r="C65" s="8" t="n">
        <v>1260</v>
      </c>
      <c r="D65" s="8" t="n">
        <v>440</v>
      </c>
      <c r="E65" s="8" t="n">
        <v>104</v>
      </c>
      <c r="F65" s="9">
        <f>IF(B65=0,"-",B65-D65)</f>
        <v/>
      </c>
      <c r="G65" s="10">
        <f>IF(B65=0,"-",(B65-D65)/B65)</f>
        <v/>
      </c>
      <c r="H65" s="10">
        <f>IF(OR(B65=0,C65=0),"-",B65/C65)</f>
        <v/>
      </c>
      <c r="I65" s="10">
        <f>IF(OR(B65=0,B64=0),"-",(B65-B64)/B64)</f>
        <v/>
      </c>
    </row>
    <row r="66" ht="18" customHeight="1">
      <c r="A66" s="7" t="inlineStr">
        <is>
          <t>20-04-2026</t>
        </is>
      </c>
      <c r="B66" s="8" t="n">
        <v>5627</v>
      </c>
      <c r="C66" s="8" t="n">
        <v>4410</v>
      </c>
      <c r="D66" s="8" t="n">
        <v>3928</v>
      </c>
      <c r="E66" s="8" t="n">
        <v>1339</v>
      </c>
      <c r="F66" s="9">
        <f>IF(B66=0,"-",B66-D66)</f>
        <v/>
      </c>
      <c r="G66" s="10">
        <f>IF(B66=0,"-",(B66-D66)/B66)</f>
        <v/>
      </c>
      <c r="H66" s="10">
        <f>IF(OR(B66=0,C66=0),"-",B66/C66)</f>
        <v/>
      </c>
      <c r="I66" s="10">
        <f>IF(OR(B66=0,B65=0),"-",(B66-B65)/B65)</f>
        <v/>
      </c>
    </row>
    <row r="67" ht="18" customHeight="1">
      <c r="A67" s="7" t="inlineStr">
        <is>
          <t>21-04-2026</t>
        </is>
      </c>
      <c r="B67" s="8" t="n">
        <v>4053</v>
      </c>
      <c r="C67" s="8" t="n">
        <v>4410</v>
      </c>
      <c r="D67" s="8" t="n">
        <v>2683</v>
      </c>
      <c r="E67" s="8" t="n">
        <v>997</v>
      </c>
      <c r="F67" s="9">
        <f>IF(B67=0,"-",B67-D67)</f>
        <v/>
      </c>
      <c r="G67" s="10">
        <f>IF(B67=0,"-",(B67-D67)/B67)</f>
        <v/>
      </c>
      <c r="H67" s="10">
        <f>IF(OR(B67=0,C67=0),"-",B67/C67)</f>
        <v/>
      </c>
      <c r="I67" s="10">
        <f>IF(OR(B67=0,B66=0),"-",(B67-B66)/B66)</f>
        <v/>
      </c>
    </row>
    <row r="68" ht="18" customHeight="1">
      <c r="A68" s="7" t="inlineStr">
        <is>
          <t>22-04-2026</t>
        </is>
      </c>
      <c r="B68" s="8" t="n">
        <v>5132</v>
      </c>
      <c r="C68" s="8" t="n">
        <v>4410</v>
      </c>
      <c r="D68" s="8" t="n">
        <v>3080</v>
      </c>
      <c r="E68" s="8" t="n">
        <v>1718</v>
      </c>
      <c r="F68" s="9">
        <f>IF(B68=0,"-",B68-D68)</f>
        <v/>
      </c>
      <c r="G68" s="10">
        <f>IF(B68=0,"-",(B68-D68)/B68)</f>
        <v/>
      </c>
      <c r="H68" s="10">
        <f>IF(OR(B68=0,C68=0),"-",B68/C68)</f>
        <v/>
      </c>
      <c r="I68" s="10">
        <f>IF(OR(B68=0,B67=0),"-",(B68-B67)/B67)</f>
        <v/>
      </c>
    </row>
    <row r="69" ht="18" customHeight="1">
      <c r="A69" s="7" t="inlineStr">
        <is>
          <t>23-04-2026</t>
        </is>
      </c>
      <c r="B69" s="8" t="n">
        <v>4081</v>
      </c>
      <c r="C69" s="8" t="n">
        <v>4410</v>
      </c>
      <c r="D69" s="8" t="n">
        <v>2926</v>
      </c>
      <c r="E69" s="8" t="n">
        <v>767</v>
      </c>
      <c r="F69" s="9">
        <f>IF(B69=0,"-",B69-D69)</f>
        <v/>
      </c>
      <c r="G69" s="10">
        <f>IF(B69=0,"-",(B69-D69)/B69)</f>
        <v/>
      </c>
      <c r="H69" s="10">
        <f>IF(OR(B69=0,C69=0),"-",B69/C69)</f>
        <v/>
      </c>
      <c r="I69" s="10">
        <f>IF(OR(B69=0,B68=0),"-",(B69-B68)/B68)</f>
        <v/>
      </c>
    </row>
    <row r="70" ht="18" customHeight="1">
      <c r="A70" s="7" t="inlineStr">
        <is>
          <t>24-04-2026</t>
        </is>
      </c>
      <c r="B70" s="8" t="n">
        <v>5114</v>
      </c>
      <c r="C70" s="8" t="n">
        <v>4410</v>
      </c>
      <c r="D70" s="8" t="n">
        <v>3959</v>
      </c>
      <c r="E70" s="8" t="n">
        <v>856</v>
      </c>
      <c r="F70" s="9">
        <f>IF(B70=0,"-",B70-D70)</f>
        <v/>
      </c>
      <c r="G70" s="10">
        <f>IF(B70=0,"-",(B70-D70)/B70)</f>
        <v/>
      </c>
      <c r="H70" s="10">
        <f>IF(OR(B70=0,C70=0),"-",B70/C70)</f>
        <v/>
      </c>
      <c r="I70" s="10">
        <f>IF(OR(B70=0,B69=0),"-",(B70-B69)/B69)</f>
        <v/>
      </c>
    </row>
    <row r="71" ht="18" customHeight="1">
      <c r="A71" s="7" t="inlineStr">
        <is>
          <t>25-04-2026</t>
        </is>
      </c>
      <c r="B71" s="8" t="n">
        <v>805</v>
      </c>
      <c r="C71" s="8" t="n">
        <v>1260</v>
      </c>
      <c r="D71" s="8" t="n">
        <v>488</v>
      </c>
      <c r="E71" s="8" t="n">
        <v>287</v>
      </c>
      <c r="F71" s="9">
        <f>IF(B71=0,"-",B71-D71)</f>
        <v/>
      </c>
      <c r="G71" s="10">
        <f>IF(B71=0,"-",(B71-D71)/B71)</f>
        <v/>
      </c>
      <c r="H71" s="10">
        <f>IF(OR(B71=0,C71=0),"-",B71/C71)</f>
        <v/>
      </c>
      <c r="I71" s="10">
        <f>IF(OR(B71=0,B70=0),"-",(B71-B70)/B70)</f>
        <v/>
      </c>
    </row>
    <row r="72" ht="18" customHeight="1">
      <c r="A72" s="7" t="inlineStr">
        <is>
          <t>26-04-2026</t>
        </is>
      </c>
      <c r="B72" s="8" t="n">
        <v>602</v>
      </c>
      <c r="C72" s="8" t="n">
        <v>1260</v>
      </c>
      <c r="D72" s="8" t="n">
        <v>469</v>
      </c>
      <c r="E72" s="8" t="n">
        <v>100</v>
      </c>
      <c r="F72" s="9">
        <f>IF(B72=0,"-",B72-D72)</f>
        <v/>
      </c>
      <c r="G72" s="10">
        <f>IF(B72=0,"-",(B72-D72)/B72)</f>
        <v/>
      </c>
      <c r="H72" s="10">
        <f>IF(OR(B72=0,C72=0),"-",B72/C72)</f>
        <v/>
      </c>
      <c r="I72" s="10">
        <f>IF(OR(B72=0,B71=0),"-",(B72-B71)/B71)</f>
        <v/>
      </c>
    </row>
    <row r="73" ht="18" customHeight="1">
      <c r="A73" s="7" t="inlineStr">
        <is>
          <t>27-04-2026</t>
        </is>
      </c>
      <c r="B73" s="8" t="n">
        <v>4192</v>
      </c>
      <c r="C73" s="8" t="n">
        <v>4410</v>
      </c>
      <c r="D73" s="8" t="n">
        <v>2617</v>
      </c>
      <c r="E73" s="8" t="n">
        <v>1088</v>
      </c>
      <c r="F73" s="9">
        <f>IF(B73=0,"-",B73-D73)</f>
        <v/>
      </c>
      <c r="G73" s="10">
        <f>IF(B73=0,"-",(B73-D73)/B73)</f>
        <v/>
      </c>
      <c r="H73" s="10">
        <f>IF(OR(B73=0,C73=0),"-",B73/C73)</f>
        <v/>
      </c>
      <c r="I73" s="10">
        <f>IF(OR(B73=0,B72=0),"-",(B73-B72)/B72)</f>
        <v/>
      </c>
    </row>
    <row r="74" ht="18" customHeight="1">
      <c r="A74" s="7" t="inlineStr">
        <is>
          <t>28-04-2026</t>
        </is>
      </c>
      <c r="B74" s="8" t="n">
        <v>4951</v>
      </c>
      <c r="C74" s="8" t="n">
        <v>4410</v>
      </c>
      <c r="D74" s="8" t="n">
        <v>3180</v>
      </c>
      <c r="E74" s="8" t="n">
        <v>1166</v>
      </c>
      <c r="F74" s="9">
        <f>IF(B74=0,"-",B74-D74)</f>
        <v/>
      </c>
      <c r="G74" s="10">
        <f>IF(B74=0,"-",(B74-D74)/B74)</f>
        <v/>
      </c>
      <c r="H74" s="10">
        <f>IF(OR(B74=0,C74=0),"-",B74/C74)</f>
        <v/>
      </c>
      <c r="I74" s="10">
        <f>IF(OR(B74=0,B73=0),"-",(B74-B73)/B73)</f>
        <v/>
      </c>
    </row>
    <row r="75" ht="18" customHeight="1">
      <c r="A75" s="7" t="inlineStr">
        <is>
          <t>29-04-2026</t>
        </is>
      </c>
      <c r="B75" s="8" t="n">
        <v>4615</v>
      </c>
      <c r="C75" s="8" t="n">
        <v>4410</v>
      </c>
      <c r="D75" s="8" t="n">
        <v>3165</v>
      </c>
      <c r="E75" s="8" t="n">
        <v>1366</v>
      </c>
      <c r="F75" s="9">
        <f>IF(B75=0,"-",B75-D75)</f>
        <v/>
      </c>
      <c r="G75" s="10">
        <f>IF(B75=0,"-",(B75-D75)/B75)</f>
        <v/>
      </c>
      <c r="H75" s="10">
        <f>IF(OR(B75=0,C75=0),"-",B75/C75)</f>
        <v/>
      </c>
      <c r="I75" s="10">
        <f>IF(OR(B75=0,B74=0),"-",(B75-B74)/B74)</f>
        <v/>
      </c>
    </row>
    <row r="76" ht="18" customHeight="1">
      <c r="A76" s="7" t="inlineStr">
        <is>
          <t>30-04-2026</t>
        </is>
      </c>
      <c r="B76" s="8" t="n">
        <v>3742</v>
      </c>
      <c r="C76" s="8" t="n">
        <v>4410</v>
      </c>
      <c r="D76" s="8" t="n">
        <v>2657</v>
      </c>
      <c r="E76" s="8" t="n">
        <v>1027</v>
      </c>
      <c r="F76" s="9">
        <f>IF(B76=0,"-",B76-D76)</f>
        <v/>
      </c>
      <c r="G76" s="10">
        <f>IF(B76=0,"-",(B76-D76)/B76)</f>
        <v/>
      </c>
      <c r="H76" s="10">
        <f>IF(OR(B76=0,C76=0),"-",B76/C76)</f>
        <v/>
      </c>
      <c r="I76" s="10">
        <f>IF(OR(B76=0,B75=0),"-",(B76-B75)/B75)</f>
        <v/>
      </c>
    </row>
    <row r="77" ht="18" customHeight="1">
      <c r="A77" s="7" t="inlineStr">
        <is>
          <t>01-05-2026</t>
        </is>
      </c>
      <c r="B77" s="8" t="n">
        <v>4370</v>
      </c>
      <c r="C77" s="8" t="n">
        <v>4410</v>
      </c>
      <c r="D77" s="8" t="n">
        <v>3340</v>
      </c>
      <c r="E77" s="8" t="n">
        <v>715</v>
      </c>
      <c r="F77" s="9">
        <f>IF(B77=0,"-",B77-D77)</f>
        <v/>
      </c>
      <c r="G77" s="10">
        <f>IF(B77=0,"-",(B77-D77)/B77)</f>
        <v/>
      </c>
      <c r="H77" s="10">
        <f>IF(OR(B77=0,C77=0),"-",B77/C77)</f>
        <v/>
      </c>
      <c r="I77" s="10">
        <f>IF(OR(B77=0,B76=0),"-",(B77-B76)/B76)</f>
        <v/>
      </c>
    </row>
    <row r="78" ht="18" customHeight="1">
      <c r="A78" s="7" t="inlineStr">
        <is>
          <t>02-05-2026</t>
        </is>
      </c>
      <c r="B78" s="8" t="n">
        <v>825</v>
      </c>
      <c r="C78" s="8" t="n">
        <v>1260</v>
      </c>
      <c r="D78" s="8" t="n">
        <v>617</v>
      </c>
      <c r="E78" s="8" t="n">
        <v>150</v>
      </c>
      <c r="F78" s="9">
        <f>IF(B78=0,"-",B78-D78)</f>
        <v/>
      </c>
      <c r="G78" s="10">
        <f>IF(B78=0,"-",(B78-D78)/B78)</f>
        <v/>
      </c>
      <c r="H78" s="10">
        <f>IF(OR(B78=0,C78=0),"-",B78/C78)</f>
        <v/>
      </c>
      <c r="I78" s="10">
        <f>IF(OR(B78=0,B77=0),"-",(B78-B77)/B77)</f>
        <v/>
      </c>
    </row>
    <row r="79" ht="18" customHeight="1">
      <c r="A79" s="7" t="inlineStr">
        <is>
          <t>03-05-2026</t>
        </is>
      </c>
      <c r="B79" s="8" t="n">
        <v>635</v>
      </c>
      <c r="C79" s="8" t="n">
        <v>1260</v>
      </c>
      <c r="D79" s="8" t="n">
        <v>442</v>
      </c>
      <c r="E79" s="8" t="n">
        <v>133</v>
      </c>
      <c r="F79" s="9">
        <f>IF(B79=0,"-",B79-D79)</f>
        <v/>
      </c>
      <c r="G79" s="10">
        <f>IF(B79=0,"-",(B79-D79)/B79)</f>
        <v/>
      </c>
      <c r="H79" s="10">
        <f>IF(OR(B79=0,C79=0),"-",B79/C79)</f>
        <v/>
      </c>
      <c r="I79" s="10">
        <f>IF(OR(B79=0,B78=0),"-",(B79-B78)/B78)</f>
        <v/>
      </c>
    </row>
    <row r="80" ht="18" customHeight="1">
      <c r="A80" s="7" t="inlineStr">
        <is>
          <t>04-05-2026</t>
        </is>
      </c>
      <c r="B80" s="8" t="n">
        <v>5060</v>
      </c>
      <c r="C80" s="8" t="n">
        <v>4410</v>
      </c>
      <c r="D80" s="8" t="n">
        <v>3677</v>
      </c>
      <c r="E80" s="8" t="n">
        <v>985</v>
      </c>
      <c r="F80" s="9">
        <f>IF(B80=0,"-",B80-D80)</f>
        <v/>
      </c>
      <c r="G80" s="10">
        <f>IF(B80=0,"-",(B80-D80)/B80)</f>
        <v/>
      </c>
      <c r="H80" s="10">
        <f>IF(OR(B80=0,C80=0),"-",B80/C80)</f>
        <v/>
      </c>
      <c r="I80" s="10">
        <f>IF(OR(B80=0,B79=0),"-",(B80-B79)/B79)</f>
        <v/>
      </c>
    </row>
    <row r="81" ht="18" customHeight="1">
      <c r="A81" s="7" t="inlineStr">
        <is>
          <t>05-05-2026</t>
        </is>
      </c>
      <c r="B81" s="8" t="n">
        <v>4664</v>
      </c>
      <c r="C81" s="8" t="n">
        <v>4410</v>
      </c>
      <c r="D81" s="8" t="n">
        <v>3485</v>
      </c>
      <c r="E81" s="8" t="n">
        <v>880</v>
      </c>
      <c r="F81" s="9">
        <f>IF(B81=0,"-",B81-D81)</f>
        <v/>
      </c>
      <c r="G81" s="10">
        <f>IF(B81=0,"-",(B81-D81)/B81)</f>
        <v/>
      </c>
      <c r="H81" s="10">
        <f>IF(OR(B81=0,C81=0),"-",B81/C81)</f>
        <v/>
      </c>
      <c r="I81" s="10">
        <f>IF(OR(B81=0,B80=0),"-",(B81-B80)/B80)</f>
        <v/>
      </c>
    </row>
    <row r="82" ht="18" customHeight="1">
      <c r="A82" s="7" t="inlineStr">
        <is>
          <t>06-05-2026</t>
        </is>
      </c>
      <c r="B82" s="8" t="n">
        <v>4591</v>
      </c>
      <c r="C82" s="8" t="n">
        <v>4410</v>
      </c>
      <c r="D82" s="8" t="n">
        <v>3078</v>
      </c>
      <c r="E82" s="8" t="n">
        <v>1007</v>
      </c>
      <c r="F82" s="9">
        <f>IF(B82=0,"-",B82-D82)</f>
        <v/>
      </c>
      <c r="G82" s="10">
        <f>IF(B82=0,"-",(B82-D82)/B82)</f>
        <v/>
      </c>
      <c r="H82" s="10">
        <f>IF(OR(B82=0,C82=0),"-",B82/C82)</f>
        <v/>
      </c>
      <c r="I82" s="10">
        <f>IF(OR(B82=0,B81=0),"-",(B82-B81)/B81)</f>
        <v/>
      </c>
    </row>
    <row r="83" ht="18" customHeight="1">
      <c r="A83" s="7" t="inlineStr">
        <is>
          <t>07-05-2026</t>
        </is>
      </c>
      <c r="B83" s="8" t="n">
        <v>4030</v>
      </c>
      <c r="C83" s="8" t="n">
        <v>4410</v>
      </c>
      <c r="D83" s="8" t="n">
        <v>2435</v>
      </c>
      <c r="E83" s="8" t="n">
        <v>1205</v>
      </c>
      <c r="F83" s="9">
        <f>IF(B83=0,"-",B83-D83)</f>
        <v/>
      </c>
      <c r="G83" s="10">
        <f>IF(B83=0,"-",(B83-D83)/B83)</f>
        <v/>
      </c>
      <c r="H83" s="10">
        <f>IF(OR(B83=0,C83=0),"-",B83/C83)</f>
        <v/>
      </c>
      <c r="I83" s="10">
        <f>IF(OR(B83=0,B82=0),"-",(B83-B82)/B82)</f>
        <v/>
      </c>
    </row>
    <row r="84" ht="18" customHeight="1">
      <c r="A84" s="7" t="inlineStr">
        <is>
          <t>08-05-2026</t>
        </is>
      </c>
      <c r="B84" s="8" t="n">
        <v>3586</v>
      </c>
      <c r="C84" s="8" t="n">
        <v>4410</v>
      </c>
      <c r="D84" s="8" t="n">
        <v>2337</v>
      </c>
      <c r="E84" s="8" t="n">
        <v>1110</v>
      </c>
      <c r="F84" s="9">
        <f>IF(B84=0,"-",B84-D84)</f>
        <v/>
      </c>
      <c r="G84" s="10">
        <f>IF(B84=0,"-",(B84-D84)/B84)</f>
        <v/>
      </c>
      <c r="H84" s="10">
        <f>IF(OR(B84=0,C84=0),"-",B84/C84)</f>
        <v/>
      </c>
      <c r="I84" s="10">
        <f>IF(OR(B84=0,B83=0),"-",(B84-B83)/B83)</f>
        <v/>
      </c>
    </row>
    <row r="85" ht="18" customHeight="1">
      <c r="A85" s="7" t="inlineStr">
        <is>
          <t>09-05-2026</t>
        </is>
      </c>
      <c r="B85" s="8" t="n">
        <v>347</v>
      </c>
      <c r="C85" s="8" t="n">
        <v>1260</v>
      </c>
      <c r="D85" s="8" t="n">
        <v>269</v>
      </c>
      <c r="E85" s="8" t="n">
        <v>72</v>
      </c>
      <c r="F85" s="9">
        <f>IF(B85=0,"-",B85-D85)</f>
        <v/>
      </c>
      <c r="G85" s="10">
        <f>IF(B85=0,"-",(B85-D85)/B85)</f>
        <v/>
      </c>
      <c r="H85" s="10">
        <f>IF(OR(B85=0,C85=0),"-",B85/C85)</f>
        <v/>
      </c>
      <c r="I85" s="10">
        <f>IF(OR(B85=0,B84=0),"-",(B85-B84)/B84)</f>
        <v/>
      </c>
    </row>
    <row r="86" ht="18" customHeight="1">
      <c r="A86" s="7" t="inlineStr">
        <is>
          <t>10-05-2026</t>
        </is>
      </c>
      <c r="B86" s="8" t="n">
        <v>829</v>
      </c>
      <c r="C86" s="8" t="n">
        <v>1260</v>
      </c>
      <c r="D86" s="8" t="n">
        <v>518</v>
      </c>
      <c r="E86" s="8" t="n">
        <v>216</v>
      </c>
      <c r="F86" s="9">
        <f>IF(B86=0,"-",B86-D86)</f>
        <v/>
      </c>
      <c r="G86" s="10">
        <f>IF(B86=0,"-",(B86-D86)/B86)</f>
        <v/>
      </c>
      <c r="H86" s="10">
        <f>IF(OR(B86=0,C86=0),"-",B86/C86)</f>
        <v/>
      </c>
      <c r="I86" s="10">
        <f>IF(OR(B86=0,B85=0),"-",(B86-B85)/B85)</f>
        <v/>
      </c>
    </row>
    <row r="87" ht="18" customHeight="1">
      <c r="A87" s="7" t="inlineStr">
        <is>
          <t>11-05-2026</t>
        </is>
      </c>
      <c r="B87" s="8" t="n">
        <v>5387</v>
      </c>
      <c r="C87" s="8" t="n">
        <v>4410</v>
      </c>
      <c r="D87" s="8" t="n">
        <v>3832</v>
      </c>
      <c r="E87" s="8" t="n">
        <v>1449</v>
      </c>
      <c r="F87" s="9">
        <f>IF(B87=0,"-",B87-D87)</f>
        <v/>
      </c>
      <c r="G87" s="10">
        <f>IF(B87=0,"-",(B87-D87)/B87)</f>
        <v/>
      </c>
      <c r="H87" s="10">
        <f>IF(OR(B87=0,C87=0),"-",B87/C87)</f>
        <v/>
      </c>
      <c r="I87" s="10">
        <f>IF(OR(B87=0,B86=0),"-",(B87-B86)/B86)</f>
        <v/>
      </c>
    </row>
    <row r="88" ht="18" customHeight="1">
      <c r="A88" s="7" t="inlineStr">
        <is>
          <t>12-05-2026</t>
        </is>
      </c>
      <c r="B88" s="8" t="n">
        <v>3432</v>
      </c>
      <c r="C88" s="8" t="n">
        <v>4410</v>
      </c>
      <c r="D88" s="8" t="n">
        <v>2091</v>
      </c>
      <c r="E88" s="8" t="n">
        <v>1174</v>
      </c>
      <c r="F88" s="9">
        <f>IF(B88=0,"-",B88-D88)</f>
        <v/>
      </c>
      <c r="G88" s="10">
        <f>IF(B88=0,"-",(B88-D88)/B88)</f>
        <v/>
      </c>
      <c r="H88" s="10">
        <f>IF(OR(B88=0,C88=0),"-",B88/C88)</f>
        <v/>
      </c>
      <c r="I88" s="10">
        <f>IF(OR(B88=0,B87=0),"-",(B88-B87)/B87)</f>
        <v/>
      </c>
    </row>
    <row r="89" ht="18" customHeight="1">
      <c r="A89" s="7" t="inlineStr">
        <is>
          <t>13-05-2026</t>
        </is>
      </c>
      <c r="B89" s="8" t="n">
        <v>6022</v>
      </c>
      <c r="C89" s="8" t="n">
        <v>4410</v>
      </c>
      <c r="D89" s="8" t="n">
        <v>3780</v>
      </c>
      <c r="E89" s="8" t="n">
        <v>1532</v>
      </c>
      <c r="F89" s="9">
        <f>IF(B89=0,"-",B89-D89)</f>
        <v/>
      </c>
      <c r="G89" s="10">
        <f>IF(B89=0,"-",(B89-D89)/B89)</f>
        <v/>
      </c>
      <c r="H89" s="10">
        <f>IF(OR(B89=0,C89=0),"-",B89/C89)</f>
        <v/>
      </c>
      <c r="I89" s="10">
        <f>IF(OR(B89=0,B88=0),"-",(B89-B88)/B88)</f>
        <v/>
      </c>
    </row>
    <row r="90" ht="18" customHeight="1">
      <c r="A90" s="7" t="inlineStr">
        <is>
          <t>14-05-2026</t>
        </is>
      </c>
      <c r="B90" s="8" t="n">
        <v>5430</v>
      </c>
      <c r="C90" s="8" t="n">
        <v>4410</v>
      </c>
      <c r="D90" s="8" t="n">
        <v>3457</v>
      </c>
      <c r="E90" s="8" t="n">
        <v>1499</v>
      </c>
      <c r="F90" s="9">
        <f>IF(B90=0,"-",B90-D90)</f>
        <v/>
      </c>
      <c r="G90" s="10">
        <f>IF(B90=0,"-",(B90-D90)/B90)</f>
        <v/>
      </c>
      <c r="H90" s="10">
        <f>IF(OR(B90=0,C90=0),"-",B90/C90)</f>
        <v/>
      </c>
      <c r="I90" s="10">
        <f>IF(OR(B90=0,B89=0),"-",(B90-B89)/B89)</f>
        <v/>
      </c>
    </row>
    <row r="91" ht="18" customHeight="1">
      <c r="A91" s="7" t="inlineStr">
        <is>
          <t>15-05-2026</t>
        </is>
      </c>
      <c r="B91" s="8" t="n">
        <v>4073</v>
      </c>
      <c r="C91" s="8" t="n">
        <v>4410</v>
      </c>
      <c r="D91" s="8" t="n">
        <v>2970</v>
      </c>
      <c r="E91" s="8" t="n">
        <v>881</v>
      </c>
      <c r="F91" s="9">
        <f>IF(B91=0,"-",B91-D91)</f>
        <v/>
      </c>
      <c r="G91" s="10">
        <f>IF(B91=0,"-",(B91-D91)/B91)</f>
        <v/>
      </c>
      <c r="H91" s="10">
        <f>IF(OR(B91=0,C91=0),"-",B91/C91)</f>
        <v/>
      </c>
      <c r="I91" s="10">
        <f>IF(OR(B91=0,B90=0),"-",(B91-B90)/B90)</f>
        <v/>
      </c>
    </row>
    <row r="92" ht="26" customHeight="1">
      <c r="A92" s="11" t="inlineStr">
        <is>
          <t>TOTAAL / GEM.</t>
        </is>
      </c>
      <c r="B92" s="12">
        <f>SUM(B2:B91)</f>
        <v/>
      </c>
      <c r="C92" s="12">
        <f>SUM(C2:C91)</f>
        <v/>
      </c>
      <c r="D92" s="12">
        <f>SUM(D2:D91)</f>
        <v/>
      </c>
      <c r="E92" s="12">
        <f>SUM(E2:E91)</f>
        <v/>
      </c>
      <c r="F92" s="12">
        <f>SUM(F2:F91)</f>
        <v/>
      </c>
      <c r="G92" s="13">
        <f>IFERROR(AVERAGE(G2:G91),"-")</f>
        <v/>
      </c>
      <c r="H92" s="13">
        <f>IFERROR(B92/C92,"-")</f>
        <v/>
      </c>
      <c r="I92" s="13" t="inlineStr">
        <is>
          <t>"-"</t>
        </is>
      </c>
    </row>
    <row r="93" ht="18" customHeight="1">
      <c r="A93" s="14" t="inlineStr">
        <is>
          <t>16-05-2026</t>
        </is>
      </c>
      <c r="B93" s="8" t="n"/>
      <c r="C93" s="8" t="n"/>
      <c r="D93" s="8" t="n"/>
      <c r="E93" s="8" t="n"/>
      <c r="F93" s="9" t="inlineStr"/>
      <c r="G93" s="9" t="inlineStr"/>
      <c r="H93" s="9" t="inlineStr"/>
      <c r="I93" s="9" t="inlineStr"/>
    </row>
    <row r="94" ht="18" customHeight="1">
      <c r="A94" s="14" t="inlineStr">
        <is>
          <t>17-05-2026</t>
        </is>
      </c>
      <c r="B94" s="8" t="n"/>
      <c r="C94" s="8" t="n"/>
      <c r="D94" s="8" t="n"/>
      <c r="E94" s="8" t="n"/>
      <c r="F94" s="9" t="inlineStr"/>
      <c r="G94" s="9" t="inlineStr"/>
      <c r="H94" s="9" t="inlineStr"/>
      <c r="I94" s="9" t="inlineStr"/>
    </row>
    <row r="95" ht="18" customHeight="1">
      <c r="A95" s="14" t="inlineStr">
        <is>
          <t>18-05-2026</t>
        </is>
      </c>
      <c r="B95" s="8" t="n"/>
      <c r="C95" s="8" t="n"/>
      <c r="D95" s="8" t="n"/>
      <c r="E95" s="8" t="n"/>
      <c r="F95" s="9" t="inlineStr"/>
      <c r="G95" s="9" t="inlineStr"/>
      <c r="H95" s="9" t="inlineStr"/>
      <c r="I95" s="9" t="inlineStr"/>
    </row>
    <row r="96" ht="18" customHeight="1">
      <c r="A96" s="14" t="inlineStr">
        <is>
          <t>19-05-2026</t>
        </is>
      </c>
      <c r="B96" s="8" t="n"/>
      <c r="C96" s="8" t="n"/>
      <c r="D96" s="8" t="n"/>
      <c r="E96" s="8" t="n"/>
      <c r="F96" s="9" t="inlineStr"/>
      <c r="G96" s="9" t="inlineStr"/>
      <c r="H96" s="9" t="inlineStr"/>
      <c r="I96" s="9" t="inlineStr"/>
    </row>
    <row r="97" ht="18" customHeight="1">
      <c r="A97" s="14" t="inlineStr">
        <is>
          <t>20-05-2026</t>
        </is>
      </c>
      <c r="B97" s="8" t="n"/>
      <c r="C97" s="8" t="n"/>
      <c r="D97" s="8" t="n"/>
      <c r="E97" s="8" t="n"/>
      <c r="F97" s="9" t="inlineStr"/>
      <c r="G97" s="9" t="inlineStr"/>
      <c r="H97" s="9" t="inlineStr"/>
      <c r="I97" s="9" t="inlineStr"/>
    </row>
    <row r="98" ht="18" customHeight="1">
      <c r="A98" s="14" t="inlineStr">
        <is>
          <t>21-05-2026</t>
        </is>
      </c>
      <c r="B98" s="8" t="n"/>
      <c r="C98" s="8" t="n"/>
      <c r="D98" s="8" t="n"/>
      <c r="E98" s="8" t="n"/>
      <c r="F98" s="9" t="inlineStr"/>
      <c r="G98" s="9" t="inlineStr"/>
      <c r="H98" s="9" t="inlineStr"/>
      <c r="I98" s="9" t="inlineStr"/>
    </row>
    <row r="99" ht="18" customHeight="1">
      <c r="A99" s="14" t="inlineStr">
        <is>
          <t>22-05-2026</t>
        </is>
      </c>
      <c r="B99" s="8" t="n"/>
      <c r="C99" s="8" t="n"/>
      <c r="D99" s="8" t="n"/>
      <c r="E99" s="8" t="n"/>
      <c r="F99" s="9" t="inlineStr"/>
      <c r="G99" s="9" t="inlineStr"/>
      <c r="H99" s="9" t="inlineStr"/>
      <c r="I99" s="9" t="inlineStr"/>
    </row>
    <row r="100" ht="18" customHeight="1">
      <c r="A100" s="14" t="inlineStr">
        <is>
          <t>23-05-2026</t>
        </is>
      </c>
      <c r="B100" s="8" t="n"/>
      <c r="C100" s="8" t="n"/>
      <c r="D100" s="8" t="n"/>
      <c r="E100" s="8" t="n"/>
      <c r="F100" s="9" t="inlineStr"/>
      <c r="G100" s="9" t="inlineStr"/>
      <c r="H100" s="9" t="inlineStr"/>
      <c r="I100" s="9" t="inlineStr"/>
    </row>
    <row r="101" ht="18" customHeight="1">
      <c r="A101" s="14" t="inlineStr">
        <is>
          <t>24-05-2026</t>
        </is>
      </c>
      <c r="B101" s="8" t="n"/>
      <c r="C101" s="8" t="n"/>
      <c r="D101" s="8" t="n"/>
      <c r="E101" s="8" t="n"/>
      <c r="F101" s="9" t="inlineStr"/>
      <c r="G101" s="9" t="inlineStr"/>
      <c r="H101" s="9" t="inlineStr"/>
      <c r="I101" s="9" t="inlineStr"/>
    </row>
    <row r="102" ht="18" customHeight="1">
      <c r="A102" s="14" t="inlineStr">
        <is>
          <t>25-05-2026</t>
        </is>
      </c>
      <c r="B102" s="8" t="n"/>
      <c r="C102" s="8" t="n"/>
      <c r="D102" s="8" t="n"/>
      <c r="E102" s="8" t="n"/>
      <c r="F102" s="9" t="inlineStr"/>
      <c r="G102" s="9" t="inlineStr"/>
      <c r="H102" s="9" t="inlineStr"/>
      <c r="I102" s="9" t="inlineStr"/>
    </row>
    <row r="103" ht="18" customHeight="1">
      <c r="A103" s="14" t="inlineStr">
        <is>
          <t>26-05-2026</t>
        </is>
      </c>
      <c r="B103" s="8" t="n"/>
      <c r="C103" s="8" t="n"/>
      <c r="D103" s="8" t="n"/>
      <c r="E103" s="8" t="n"/>
      <c r="F103" s="9" t="inlineStr"/>
      <c r="G103" s="9" t="inlineStr"/>
      <c r="H103" s="9" t="inlineStr"/>
      <c r="I103" s="9" t="inlineStr"/>
    </row>
    <row r="104" ht="18" customHeight="1">
      <c r="A104" s="14" t="inlineStr">
        <is>
          <t>27-05-2026</t>
        </is>
      </c>
      <c r="B104" s="8" t="n"/>
      <c r="C104" s="8" t="n"/>
      <c r="D104" s="8" t="n"/>
      <c r="E104" s="8" t="n"/>
      <c r="F104" s="9" t="inlineStr"/>
      <c r="G104" s="9" t="inlineStr"/>
      <c r="H104" s="9" t="inlineStr"/>
      <c r="I104" s="9" t="inlineStr"/>
    </row>
    <row r="105" ht="18" customHeight="1">
      <c r="A105" s="14" t="inlineStr">
        <is>
          <t>28-05-2026</t>
        </is>
      </c>
      <c r="B105" s="8" t="n"/>
      <c r="C105" s="8" t="n"/>
      <c r="D105" s="8" t="n"/>
      <c r="E105" s="8" t="n"/>
      <c r="F105" s="9" t="inlineStr"/>
      <c r="G105" s="9" t="inlineStr"/>
      <c r="H105" s="9" t="inlineStr"/>
      <c r="I105" s="9" t="inlineStr"/>
    </row>
    <row r="106" ht="18" customHeight="1">
      <c r="A106" s="14" t="inlineStr">
        <is>
          <t>29-05-2026</t>
        </is>
      </c>
      <c r="B106" s="8" t="n"/>
      <c r="C106" s="8" t="n"/>
      <c r="D106" s="8" t="n"/>
      <c r="E106" s="8" t="n"/>
      <c r="F106" s="9" t="inlineStr"/>
      <c r="G106" s="9" t="inlineStr"/>
      <c r="H106" s="9" t="inlineStr"/>
      <c r="I106" s="9" t="inlineStr"/>
    </row>
    <row r="107" ht="18" customHeight="1">
      <c r="A107" s="14" t="inlineStr">
        <is>
          <t>30-05-2026</t>
        </is>
      </c>
      <c r="B107" s="8" t="n"/>
      <c r="C107" s="8" t="n"/>
      <c r="D107" s="8" t="n"/>
      <c r="E107" s="8" t="n"/>
      <c r="F107" s="9" t="inlineStr"/>
      <c r="G107" s="9" t="inlineStr"/>
      <c r="H107" s="9" t="inlineStr"/>
      <c r="I107" s="9" t="inlineStr"/>
    </row>
    <row r="108" ht="18" customHeight="1">
      <c r="A108" s="14" t="inlineStr">
        <is>
          <t>31-05-2026</t>
        </is>
      </c>
      <c r="B108" s="8" t="n"/>
      <c r="C108" s="8" t="n"/>
      <c r="D108" s="8" t="n"/>
      <c r="E108" s="8" t="n"/>
      <c r="F108" s="9" t="inlineStr"/>
      <c r="G108" s="9" t="inlineStr"/>
      <c r="H108" s="9" t="inlineStr"/>
      <c r="I108" s="9" t="inlineStr"/>
    </row>
    <row r="109" ht="18" customHeight="1">
      <c r="A109" s="14" t="inlineStr">
        <is>
          <t>01-06-2026</t>
        </is>
      </c>
      <c r="B109" s="8" t="n"/>
      <c r="C109" s="8" t="n"/>
      <c r="D109" s="8" t="n"/>
      <c r="E109" s="8" t="n"/>
      <c r="F109" s="9" t="inlineStr"/>
      <c r="G109" s="9" t="inlineStr"/>
      <c r="H109" s="9" t="inlineStr"/>
      <c r="I109" s="9" t="inlineStr"/>
    </row>
    <row r="110" ht="18" customHeight="1">
      <c r="A110" s="14" t="inlineStr">
        <is>
          <t>02-06-2026</t>
        </is>
      </c>
      <c r="B110" s="8" t="n"/>
      <c r="C110" s="8" t="n"/>
      <c r="D110" s="8" t="n"/>
      <c r="E110" s="8" t="n"/>
      <c r="F110" s="9" t="inlineStr"/>
      <c r="G110" s="9" t="inlineStr"/>
      <c r="H110" s="9" t="inlineStr"/>
      <c r="I110" s="9" t="inlineStr"/>
    </row>
    <row r="111" ht="18" customHeight="1">
      <c r="A111" s="14" t="inlineStr">
        <is>
          <t>03-06-2026</t>
        </is>
      </c>
      <c r="B111" s="8" t="n"/>
      <c r="C111" s="8" t="n"/>
      <c r="D111" s="8" t="n"/>
      <c r="E111" s="8" t="n"/>
      <c r="F111" s="9" t="inlineStr"/>
      <c r="G111" s="9" t="inlineStr"/>
      <c r="H111" s="9" t="inlineStr"/>
      <c r="I111" s="9" t="inlineStr"/>
    </row>
    <row r="112" ht="18" customHeight="1">
      <c r="A112" s="14" t="inlineStr">
        <is>
          <t>04-06-2026</t>
        </is>
      </c>
      <c r="B112" s="8" t="n"/>
      <c r="C112" s="8" t="n"/>
      <c r="D112" s="8" t="n"/>
      <c r="E112" s="8" t="n"/>
      <c r="F112" s="9" t="inlineStr"/>
      <c r="G112" s="9" t="inlineStr"/>
      <c r="H112" s="9" t="inlineStr"/>
      <c r="I112" s="9" t="inlineStr"/>
    </row>
    <row r="113" ht="18" customHeight="1">
      <c r="A113" s="14" t="inlineStr">
        <is>
          <t>05-06-2026</t>
        </is>
      </c>
      <c r="B113" s="8" t="n"/>
      <c r="C113" s="8" t="n"/>
      <c r="D113" s="8" t="n"/>
      <c r="E113" s="8" t="n"/>
      <c r="F113" s="9" t="inlineStr"/>
      <c r="G113" s="9" t="inlineStr"/>
      <c r="H113" s="9" t="inlineStr"/>
      <c r="I113" s="9" t="inlineStr"/>
    </row>
    <row r="114" ht="18" customHeight="1">
      <c r="A114" s="14" t="inlineStr">
        <is>
          <t>06-06-2026</t>
        </is>
      </c>
      <c r="B114" s="8" t="n"/>
      <c r="C114" s="8" t="n"/>
      <c r="D114" s="8" t="n"/>
      <c r="E114" s="8" t="n"/>
      <c r="F114" s="9" t="inlineStr"/>
      <c r="G114" s="9" t="inlineStr"/>
      <c r="H114" s="9" t="inlineStr"/>
      <c r="I114" s="9" t="inlineStr"/>
    </row>
    <row r="115" ht="18" customHeight="1">
      <c r="A115" s="14" t="inlineStr">
        <is>
          <t>07-06-2026</t>
        </is>
      </c>
      <c r="B115" s="8" t="n"/>
      <c r="C115" s="8" t="n"/>
      <c r="D115" s="8" t="n"/>
      <c r="E115" s="8" t="n"/>
      <c r="F115" s="9" t="inlineStr"/>
      <c r="G115" s="9" t="inlineStr"/>
      <c r="H115" s="9" t="inlineStr"/>
      <c r="I115" s="9" t="inlineStr"/>
    </row>
    <row r="116" ht="18" customHeight="1">
      <c r="A116" s="14" t="inlineStr">
        <is>
          <t>08-06-2026</t>
        </is>
      </c>
      <c r="B116" s="8" t="n"/>
      <c r="C116" s="8" t="n"/>
      <c r="D116" s="8" t="n"/>
      <c r="E116" s="8" t="n"/>
      <c r="F116" s="9" t="inlineStr"/>
      <c r="G116" s="9" t="inlineStr"/>
      <c r="H116" s="9" t="inlineStr"/>
      <c r="I116" s="9" t="inlineStr"/>
    </row>
    <row r="117" ht="18" customHeight="1">
      <c r="A117" s="14" t="inlineStr">
        <is>
          <t>09-06-2026</t>
        </is>
      </c>
      <c r="B117" s="8" t="n"/>
      <c r="C117" s="8" t="n"/>
      <c r="D117" s="8" t="n"/>
      <c r="E117" s="8" t="n"/>
      <c r="F117" s="9" t="inlineStr"/>
      <c r="G117" s="9" t="inlineStr"/>
      <c r="H117" s="9" t="inlineStr"/>
      <c r="I117" s="9" t="inlineStr"/>
    </row>
    <row r="118" ht="18" customHeight="1">
      <c r="A118" s="14" t="inlineStr">
        <is>
          <t>10-06-2026</t>
        </is>
      </c>
      <c r="B118" s="8" t="n"/>
      <c r="C118" s="8" t="n"/>
      <c r="D118" s="8" t="n"/>
      <c r="E118" s="8" t="n"/>
      <c r="F118" s="9" t="inlineStr"/>
      <c r="G118" s="9" t="inlineStr"/>
      <c r="H118" s="9" t="inlineStr"/>
      <c r="I118" s="9" t="inlineStr"/>
    </row>
    <row r="119" ht="18" customHeight="1">
      <c r="A119" s="14" t="inlineStr">
        <is>
          <t>11-06-2026</t>
        </is>
      </c>
      <c r="B119" s="8" t="n"/>
      <c r="C119" s="8" t="n"/>
      <c r="D119" s="8" t="n"/>
      <c r="E119" s="8" t="n"/>
      <c r="F119" s="9" t="inlineStr"/>
      <c r="G119" s="9" t="inlineStr"/>
      <c r="H119" s="9" t="inlineStr"/>
      <c r="I119" s="9" t="inlineStr"/>
    </row>
    <row r="120" ht="18" customHeight="1">
      <c r="A120" s="14" t="inlineStr">
        <is>
          <t>12-06-2026</t>
        </is>
      </c>
      <c r="B120" s="8" t="n"/>
      <c r="C120" s="8" t="n"/>
      <c r="D120" s="8" t="n"/>
      <c r="E120" s="8" t="n"/>
      <c r="F120" s="9" t="inlineStr"/>
      <c r="G120" s="9" t="inlineStr"/>
      <c r="H120" s="9" t="inlineStr"/>
      <c r="I120" s="9" t="inlineStr"/>
    </row>
    <row r="121" ht="18" customHeight="1">
      <c r="A121" s="14" t="inlineStr">
        <is>
          <t>13-06-2026</t>
        </is>
      </c>
      <c r="B121" s="8" t="n"/>
      <c r="C121" s="8" t="n"/>
      <c r="D121" s="8" t="n"/>
      <c r="E121" s="8" t="n"/>
      <c r="F121" s="9" t="inlineStr"/>
      <c r="G121" s="9" t="inlineStr"/>
      <c r="H121" s="9" t="inlineStr"/>
      <c r="I121" s="9" t="inlineStr"/>
    </row>
    <row r="122" ht="18" customHeight="1">
      <c r="A122" s="14" t="inlineStr">
        <is>
          <t>14-06-2026</t>
        </is>
      </c>
      <c r="B122" s="8" t="n"/>
      <c r="C122" s="8" t="n"/>
      <c r="D122" s="8" t="n"/>
      <c r="E122" s="8" t="n"/>
      <c r="F122" s="9" t="inlineStr"/>
      <c r="G122" s="9" t="inlineStr"/>
      <c r="H122" s="9" t="inlineStr"/>
      <c r="I122" s="9" t="inlineStr"/>
    </row>
  </sheetData>
  <conditionalFormatting sqref="B2:B91">
    <cfRule type="dataBar" priority="1">
      <dataBar showValue="1">
        <cfvo type="min"/>
        <cfvo type="max"/>
        <color rgb="004F8EF7"/>
      </dataBar>
    </cfRule>
  </conditionalFormatting>
  <conditionalFormatting sqref="G2:G91">
    <cfRule type="colorScale" priority="2">
      <colorScale>
        <cfvo type="min"/>
        <cfvo type="num" val="0.3"/>
        <cfvo type="max"/>
        <color rgb="00F87171"/>
        <color rgb="00FBBF24"/>
        <color rgb="0034D39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0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22" customWidth="1" min="4" max="4"/>
    <col width="18" customWidth="1" min="5" max="5"/>
    <col width="3" customWidth="1" min="6" max="6"/>
  </cols>
  <sheetData>
    <row r="1" ht="44" customHeight="1">
      <c r="B1" s="15" t="inlineStr">
        <is>
          <t>FinFlowApp — KPI Samenvatting</t>
        </is>
      </c>
    </row>
    <row r="2" ht="20" customHeight="1">
      <c r="B2" s="16" t="inlineStr">
        <is>
          <t>Automatisch berekend vanuit Dagdata · Niet aanpassen</t>
        </is>
      </c>
    </row>
    <row r="3" ht="12" customHeight="1"/>
    <row r="4" ht="60" customHeight="1">
      <c r="B4" s="17" t="inlineStr">
        <is>
          <t>Totaal Omzet (90 dgn)</t>
        </is>
      </c>
      <c r="C4" s="18">
        <f>SUM(Dagdata!B2:B91)</f>
        <v/>
      </c>
      <c r="D4" s="19" t="inlineStr">
        <is>
          <t>Totaal Kosten (90 dgn)</t>
        </is>
      </c>
      <c r="E4" s="20">
        <f>SUM(Dagdata!D2:D91)</f>
        <v/>
      </c>
    </row>
    <row r="5" ht="6" customHeight="1"/>
    <row r="6" ht="60" customHeight="1">
      <c r="B6" s="21" t="inlineStr">
        <is>
          <t>Totaal Marge (90 dgn)</t>
        </is>
      </c>
      <c r="C6" s="22">
        <f>SUM(Dagdata!F2:F91)</f>
        <v/>
      </c>
      <c r="D6" s="21" t="inlineStr">
        <is>
          <t>Gemiddelde marge %</t>
        </is>
      </c>
      <c r="E6" s="23">
        <f>IFERROR(AVERAGE(Dagdata!G2:G91),0)</f>
        <v/>
      </c>
    </row>
    <row r="7" ht="6" customHeight="1"/>
    <row r="8" ht="60" customHeight="1">
      <c r="B8" s="17" t="inlineStr">
        <is>
          <t>Gem. dagomzet</t>
        </is>
      </c>
      <c r="C8" s="18">
        <f>IFERROR(AVERAGE(Dagdata!B2:B91),0)</f>
        <v/>
      </c>
      <c r="D8" s="24" t="inlineStr">
        <is>
          <t>Totaal Cashflow</t>
        </is>
      </c>
      <c r="E8" s="25">
        <f>SUM(Dagdata!E2:E91)</f>
        <v/>
      </c>
    </row>
    <row r="9" ht="6" customHeight="1"/>
    <row r="10" ht="60" customHeight="1">
      <c r="B10" s="26" t="inlineStr">
        <is>
          <t>Budget realisatie</t>
        </is>
      </c>
      <c r="C10" s="27">
        <f>IFERROR(SUM(Dagdata!B2:B91)/SUM(Dagdata!C2:C91),0)</f>
        <v/>
      </c>
      <c r="D10" s="21" t="inlineStr">
        <is>
          <t>Beste dag omzet</t>
        </is>
      </c>
      <c r="E10" s="22">
        <f>MAX(Dagdata!B2:B91)</f>
        <v/>
      </c>
    </row>
    <row r="11" ht="6" customHeight="1"/>
  </sheetData>
  <mergeCells count="2">
    <mergeCell ref="B1:E1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 ht="30" customHeight="1">
      <c r="A1" s="3" t="inlineStr">
        <is>
          <t>Categorie</t>
        </is>
      </c>
      <c r="B1" s="3" t="inlineStr">
        <is>
          <t>Bedrag (€)</t>
        </is>
      </c>
      <c r="C1" s="6" t="inlineStr">
        <is>
          <t>Budget (€)</t>
        </is>
      </c>
      <c r="D1" s="6" t="inlineStr">
        <is>
          <t>% Totaal</t>
        </is>
      </c>
      <c r="E1" s="6" t="inlineStr">
        <is>
          <t>Toelichting</t>
        </is>
      </c>
    </row>
    <row r="2" ht="22" customHeight="1">
      <c r="A2" s="28" t="inlineStr">
        <is>
          <t>Personeelskosten</t>
        </is>
      </c>
      <c r="B2" s="8" t="n">
        <v>44200</v>
      </c>
      <c r="C2" s="8" t="n">
        <v>46000</v>
      </c>
      <c r="D2" s="10">
        <f>IFERROR(B2/SUM($B$2:$B$9),"-")</f>
        <v/>
      </c>
      <c r="E2" s="29" t="inlineStr">
        <is>
          <t>Salarissen, sociale lasten, pensioen, verzekeringen</t>
        </is>
      </c>
    </row>
    <row r="3" ht="22" customHeight="1">
      <c r="A3" s="28" t="inlineStr">
        <is>
          <t>Inkoopkosten / COGS</t>
        </is>
      </c>
      <c r="B3" s="8" t="n">
        <v>19300</v>
      </c>
      <c r="C3" s="8" t="n">
        <v>20000</v>
      </c>
      <c r="D3" s="10">
        <f>IFERROR(B3/SUM($B$2:$B$9),"-")</f>
        <v/>
      </c>
      <c r="E3" s="29" t="inlineStr">
        <is>
          <t>Materiaal, inkoop goederen/diensten voor verkoop</t>
        </is>
      </c>
    </row>
    <row r="4" ht="22" customHeight="1">
      <c r="A4" s="28" t="inlineStr">
        <is>
          <t>Huisvestingskosten</t>
        </is>
      </c>
      <c r="B4" s="8" t="n">
        <v>8100</v>
      </c>
      <c r="C4" s="8" t="n">
        <v>8000</v>
      </c>
      <c r="D4" s="10">
        <f>IFERROR(B4/SUM($B$2:$B$9),"-")</f>
        <v/>
      </c>
      <c r="E4" s="29" t="inlineStr">
        <is>
          <t>Huur, energie, schoonmaak, beveiliging</t>
        </is>
      </c>
    </row>
    <row r="5" ht="22" customHeight="1">
      <c r="A5" s="28" t="inlineStr">
        <is>
          <t>Marketing &amp; Sales</t>
        </is>
      </c>
      <c r="B5" s="8" t="n">
        <v>4900</v>
      </c>
      <c r="C5" s="8" t="n">
        <v>6000</v>
      </c>
      <c r="D5" s="10">
        <f>IFERROR(B5/SUM($B$2:$B$9),"-")</f>
        <v/>
      </c>
      <c r="E5" s="29" t="inlineStr">
        <is>
          <t>Advertenties, events, CRM, sales tools</t>
        </is>
      </c>
    </row>
    <row r="6" ht="22" customHeight="1">
      <c r="A6" s="28" t="inlineStr">
        <is>
          <t>ICT &amp; Software</t>
        </is>
      </c>
      <c r="B6" s="8" t="n">
        <v>2800</v>
      </c>
      <c r="C6" s="8" t="n">
        <v>3000</v>
      </c>
      <c r="D6" s="10">
        <f>IFERROR(B6/SUM($B$2:$B$9),"-")</f>
        <v/>
      </c>
      <c r="E6" s="29" t="inlineStr">
        <is>
          <t>Licenties, hosting, hardware, support</t>
        </is>
      </c>
    </row>
    <row r="7" ht="22" customHeight="1">
      <c r="A7" s="28" t="inlineStr">
        <is>
          <t>Financiële kosten</t>
        </is>
      </c>
      <c r="B7" s="8" t="n">
        <v>1200</v>
      </c>
      <c r="C7" s="8" t="n">
        <v>1500</v>
      </c>
      <c r="D7" s="10">
        <f>IFERROR(B7/SUM($B$2:$B$9),"-")</f>
        <v/>
      </c>
      <c r="E7" s="29" t="inlineStr">
        <is>
          <t>Accountant, advies, bank, notaris</t>
        </is>
      </c>
    </row>
    <row r="8" ht="22" customHeight="1">
      <c r="A8" s="28" t="inlineStr">
        <is>
          <t>Afschrijvingen</t>
        </is>
      </c>
      <c r="B8" s="8" t="n">
        <v>1400</v>
      </c>
      <c r="C8" s="8" t="n">
        <v>1400</v>
      </c>
      <c r="D8" s="10">
        <f>IFERROR(B8/SUM($B$2:$B$9),"-")</f>
        <v/>
      </c>
      <c r="E8" s="29" t="inlineStr">
        <is>
          <t>Inventaris, machines, immaterieel</t>
        </is>
      </c>
    </row>
    <row r="9" ht="22" customHeight="1">
      <c r="A9" s="28" t="inlineStr">
        <is>
          <t>Overige kosten</t>
        </is>
      </c>
      <c r="B9" s="8" t="n">
        <v>900</v>
      </c>
      <c r="C9" s="8" t="n">
        <v>1000</v>
      </c>
      <c r="D9" s="10">
        <f>IFERROR(B9/SUM($B$2:$B$9),"-")</f>
        <v/>
      </c>
      <c r="E9" s="29" t="inlineStr">
        <is>
          <t>Overige operationele kosten</t>
        </is>
      </c>
    </row>
    <row r="10" ht="20" customHeight="1">
      <c r="A10" s="30" t="inlineStr"/>
      <c r="B10" s="8" t="n"/>
      <c r="C10" s="8" t="n"/>
      <c r="D10" s="10" t="inlineStr"/>
      <c r="E10" s="31" t="inlineStr"/>
    </row>
    <row r="11" ht="20" customHeight="1">
      <c r="A11" s="30" t="inlineStr"/>
      <c r="B11" s="8" t="n"/>
      <c r="C11" s="8" t="n"/>
      <c r="D11" s="10" t="inlineStr"/>
      <c r="E11" s="31" t="inlineStr"/>
    </row>
    <row r="12" ht="20" customHeight="1">
      <c r="A12" s="30" t="inlineStr"/>
      <c r="B12" s="8" t="n"/>
      <c r="C12" s="8" t="n"/>
      <c r="D12" s="10" t="inlineStr"/>
      <c r="E12" s="31" t="inlineStr"/>
    </row>
    <row r="13" ht="20" customHeight="1">
      <c r="A13" s="30" t="inlineStr"/>
      <c r="B13" s="8" t="n"/>
      <c r="C13" s="8" t="n"/>
      <c r="D13" s="10" t="inlineStr"/>
      <c r="E13" s="31" t="inlineStr"/>
    </row>
    <row r="14" ht="20" customHeight="1">
      <c r="A14" s="30" t="inlineStr"/>
      <c r="B14" s="8" t="n"/>
      <c r="C14" s="8" t="n"/>
      <c r="D14" s="10" t="inlineStr"/>
      <c r="E14" s="31" t="inlineStr"/>
    </row>
    <row r="16" ht="24" customHeight="1">
      <c r="A16" s="32" t="inlineStr">
        <is>
          <t>TOTAAL</t>
        </is>
      </c>
      <c r="B16" s="33">
        <f>SUM(B2:B15)</f>
        <v/>
      </c>
      <c r="C16" s="33">
        <f>SUM(C2:C15)</f>
        <v/>
      </c>
      <c r="D16" s="34">
        <f>1</f>
        <v/>
      </c>
    </row>
  </sheetData>
  <conditionalFormatting sqref="B2:B15">
    <cfRule type="dataBar" priority="1">
      <dataBar showValue="1">
        <cfvo type="min"/>
        <cfvo type="max"/>
        <color rgb="0034D399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36" customWidth="1" min="4" max="4"/>
  </cols>
  <sheetData>
    <row r="1" ht="30" customHeight="1">
      <c r="A1" s="5" t="inlineStr">
        <is>
          <t>Balanspost</t>
        </is>
      </c>
      <c r="B1" s="5" t="inlineStr">
        <is>
          <t>Huidig (€)</t>
        </is>
      </c>
      <c r="C1" s="6" t="inlineStr">
        <is>
          <t>Vorige periode (€)</t>
        </is>
      </c>
      <c r="D1" s="6" t="inlineStr">
        <is>
          <t>Toelichting</t>
        </is>
      </c>
    </row>
    <row r="2" ht="22" customHeight="1">
      <c r="A2" s="35" t="inlineStr">
        <is>
          <t xml:space="preserve">  VLOTTENDE ACTIVA</t>
        </is>
      </c>
      <c r="B2" s="58" t="n"/>
      <c r="C2" s="58" t="n"/>
      <c r="D2" s="59" t="n"/>
    </row>
    <row r="3" ht="22" customHeight="1">
      <c r="A3" s="36" t="inlineStr">
        <is>
          <t>Debiteuren (openstaande facturen)</t>
        </is>
      </c>
      <c r="B3" s="8" t="n">
        <v>48500</v>
      </c>
      <c r="C3" s="8" t="n">
        <v>42300</v>
      </c>
      <c r="D3" s="29" t="inlineStr">
        <is>
          <t>Openstaande vorderingen op klanten</t>
        </is>
      </c>
    </row>
    <row r="4" ht="22" customHeight="1">
      <c r="A4" s="36" t="inlineStr">
        <is>
          <t>Kas &amp; Banktegoeden</t>
        </is>
      </c>
      <c r="B4" s="8" t="n">
        <v>32000</v>
      </c>
      <c r="C4" s="8" t="n">
        <v>28500</v>
      </c>
      <c r="D4" s="29" t="inlineStr">
        <is>
          <t>Direct beschikbare liquide middelen</t>
        </is>
      </c>
    </row>
    <row r="5" ht="22" customHeight="1">
      <c r="A5" s="36" t="inlineStr">
        <is>
          <t>Voorraad</t>
        </is>
      </c>
      <c r="B5" s="8" t="n">
        <v>15200</v>
      </c>
      <c r="C5" s="8" t="n">
        <v>17800</v>
      </c>
      <c r="D5" s="29" t="inlineStr">
        <is>
          <t>Waarde aanwezige voorraad</t>
        </is>
      </c>
    </row>
    <row r="6" ht="22" customHeight="1">
      <c r="A6" s="36" t="inlineStr">
        <is>
          <t>Overige vlottende activa</t>
        </is>
      </c>
      <c r="B6" s="8" t="n">
        <v>4800</v>
      </c>
      <c r="C6" s="8" t="n">
        <v>3900</v>
      </c>
      <c r="D6" s="29" t="inlineStr">
        <is>
          <t>Vooruitbetaalde kosten, nog te ontvangen</t>
        </is>
      </c>
    </row>
    <row r="7" ht="22" customHeight="1">
      <c r="A7" s="35" t="inlineStr">
        <is>
          <t xml:space="preserve">  KORTLOPENDE SCHULDEN</t>
        </is>
      </c>
      <c r="B7" s="58" t="n"/>
      <c r="C7" s="58" t="n"/>
      <c r="D7" s="59" t="n"/>
    </row>
    <row r="8" ht="22" customHeight="1">
      <c r="A8" s="36" t="inlineStr">
        <is>
          <t>Crediteuren (te betalen facturen)</t>
        </is>
      </c>
      <c r="B8" s="8" t="n">
        <v>22400</v>
      </c>
      <c r="C8" s="8" t="n">
        <v>19800</v>
      </c>
      <c r="D8" s="29" t="inlineStr">
        <is>
          <t>Openstaande schulden aan leveranciers</t>
        </is>
      </c>
    </row>
    <row r="9" ht="22" customHeight="1">
      <c r="A9" s="36" t="inlineStr">
        <is>
          <t>Belastingschulden (BTW, LB)</t>
        </is>
      </c>
      <c r="B9" s="8" t="n">
        <v>8200</v>
      </c>
      <c r="C9" s="8" t="n">
        <v>7600</v>
      </c>
      <c r="D9" s="29" t="inlineStr">
        <is>
          <t>Nog te betalen belastingen</t>
        </is>
      </c>
    </row>
    <row r="10" ht="22" customHeight="1">
      <c r="A10" s="36" t="inlineStr">
        <is>
          <t>Overige kortlopende schulden</t>
        </is>
      </c>
      <c r="B10" s="8" t="n">
        <v>3100</v>
      </c>
      <c r="C10" s="8" t="n">
        <v>2800</v>
      </c>
      <c r="D10" s="29" t="inlineStr">
        <is>
          <t>Overige schulden met looptijd &lt; 1 jaar</t>
        </is>
      </c>
    </row>
    <row r="11" ht="22" customHeight="1">
      <c r="A11" s="35" t="inlineStr">
        <is>
          <t xml:space="preserve">  AANVULLENDE INFORMATIE</t>
        </is>
      </c>
      <c r="B11" s="58" t="n"/>
      <c r="C11" s="58" t="n"/>
      <c r="D11" s="59" t="n"/>
    </row>
    <row r="12" ht="22" customHeight="1">
      <c r="A12" s="36" t="inlineStr">
        <is>
          <t>Omzet afgelopen 12 maanden</t>
        </is>
      </c>
      <c r="B12" s="8" t="n">
        <v>1180000</v>
      </c>
      <c r="C12" s="8" t="n">
        <v>1050000</v>
      </c>
      <c r="D12" s="29" t="inlineStr">
        <is>
          <t>Voor DSO-berekening in dashboard</t>
        </is>
      </c>
    </row>
    <row r="13" ht="22" customHeight="1">
      <c r="A13" s="36" t="inlineStr">
        <is>
          <t>Betalingstermijn klanten (dagen)</t>
        </is>
      </c>
      <c r="B13" s="8" t="n">
        <v>30</v>
      </c>
      <c r="C13" s="8" t="n">
        <v>30</v>
      </c>
      <c r="D13" s="29" t="inlineStr">
        <is>
          <t>Contractuele betalingstermijn debiteuren</t>
        </is>
      </c>
    </row>
    <row r="14" ht="22" customHeight="1">
      <c r="A14" s="36" t="inlineStr">
        <is>
          <t>Betalingstermijn leveranciers (dgn)</t>
        </is>
      </c>
      <c r="B14" s="8" t="n">
        <v>45</v>
      </c>
      <c r="C14" s="8" t="n">
        <v>45</v>
      </c>
      <c r="D14" s="29" t="inlineStr">
        <is>
          <t>Contractuele betalingstermijn crediteuren</t>
        </is>
      </c>
    </row>
  </sheetData>
  <mergeCells count="3">
    <mergeCell ref="A7:D7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2026-05-15T15:21:03Z</dcterms:created>
  <dcterms:modified xmlns:dcterms="http://purl.org/dc/terms/" xmlns:xsi="http://www.w3.org/2001/XMLSchema-instance" xsi:type="dcterms:W3CDTF">2026-05-15T15:23:10Z</dcterms:modified>
</cp:coreProperties>
</file>